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B41C0D36-B19A-4298-8CE9-490B6E80A876}" xr6:coauthVersionLast="47" xr6:coauthVersionMax="47" xr10:uidLastSave="{00000000-0000-0000-0000-000000000000}"/>
  <bookViews>
    <workbookView xWindow="-120" yWindow="-120" windowWidth="20730" windowHeight="11040" activeTab="2" xr2:uid="{97CA10F4-C993-4805-B5CE-DE476898D25C}"/>
  </bookViews>
  <sheets>
    <sheet name="Pivot" sheetId="3" r:id="rId1"/>
    <sheet name="Data" sheetId="2" r:id="rId2"/>
    <sheet name="Dashboard" sheetId="1" r:id="rId3"/>
  </sheets>
  <definedNames>
    <definedName name="_xlcn.WorksheetConnection_Book1Table11" hidden="1">Table1[]</definedName>
    <definedName name="ExternalData_1" localSheetId="1" hidden="1">Data!$A$3:$Q$503</definedName>
    <definedName name="Slicer_Item_Category">#N/A</definedName>
    <definedName name="Slicer_Month">#N/A</definedName>
    <definedName name="Slicer_Region">#N/A</definedName>
  </definedNames>
  <calcPr calcId="191029"/>
  <pivotCaches>
    <pivotCache cacheId="1079" r:id="rId4"/>
    <pivotCache cacheId="1082" r:id="rId5"/>
    <pivotCache cacheId="1085" r:id="rId6"/>
    <pivotCache cacheId="1088" r:id="rId7"/>
    <pivotCache cacheId="1091" r:id="rId8"/>
    <pivotCache cacheId="1094" r:id="rId9"/>
    <pivotCache cacheId="1097" r:id="rId10"/>
    <pivotCache cacheId="1100" r:id="rId11"/>
    <pivotCache cacheId="1103" r:id="rId12"/>
  </pivotCaches>
  <extLst>
    <ext xmlns:x14="http://schemas.microsoft.com/office/spreadsheetml/2009/9/main" uri="{876F7934-8845-4945-9796-88D515C7AA90}">
      <x14:pivotCaches>
        <pivotCache cacheId="401"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5" i="3" l="1"/>
  <c r="B14" i="3"/>
  <c r="B13" i="3"/>
  <c r="B12" i="3"/>
  <c r="B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A00551-61C3-4417-B756-78FC062A00FF}"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C84A6D92-EE89-4369-B346-65845B82BEF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F42BB70-CA1C-4F2B-BB69-2A871701D414}" name="WorksheetConnection_Book1!Table1" type="102" refreshedVersion="7"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<sst xmlns="http://schemas.openxmlformats.org/spreadsheetml/2006/main" count="4533" uniqueCount="975">
  <si>
    <t>Order ID</t>
  </si>
  <si>
    <t>Order Date</t>
  </si>
  <si>
    <t>Year</t>
  </si>
  <si>
    <t>Customer ID</t>
  </si>
  <si>
    <t>Customer Name</t>
  </si>
  <si>
    <t>Product ID</t>
  </si>
  <si>
    <t>Product Name</t>
  </si>
  <si>
    <t>Item Category</t>
  </si>
  <si>
    <t>Region</t>
  </si>
  <si>
    <t>Quantity Sold</t>
  </si>
  <si>
    <t>Unit Price</t>
  </si>
  <si>
    <t>Cost Amount</t>
  </si>
  <si>
    <t>Sales Amount</t>
  </si>
  <si>
    <t>Profit</t>
  </si>
  <si>
    <t>Quarter</t>
  </si>
  <si>
    <t>Month</t>
  </si>
  <si>
    <t>Month No</t>
  </si>
  <si>
    <t>ORD00001</t>
  </si>
  <si>
    <t>C090</t>
  </si>
  <si>
    <t>Russell</t>
  </si>
  <si>
    <t>P024</t>
  </si>
  <si>
    <t>USB Drive 24</t>
  </si>
  <si>
    <t>Chair</t>
  </si>
  <si>
    <t>West</t>
  </si>
  <si>
    <t>Q3</t>
  </si>
  <si>
    <t>Jul</t>
  </si>
  <si>
    <t>ORD00002</t>
  </si>
  <si>
    <t>C087</t>
  </si>
  <si>
    <t>Kevin</t>
  </si>
  <si>
    <t>P048</t>
  </si>
  <si>
    <t>Desk Lamp 48</t>
  </si>
  <si>
    <t>North</t>
  </si>
  <si>
    <t>Q1</t>
  </si>
  <si>
    <t>Jan</t>
  </si>
  <si>
    <t>ORD00003</t>
  </si>
  <si>
    <t>C083</t>
  </si>
  <si>
    <t>Alaia</t>
  </si>
  <si>
    <t>P039</t>
  </si>
  <si>
    <t>Notebook 39</t>
  </si>
  <si>
    <t>Notebook</t>
  </si>
  <si>
    <t>ORD00004</t>
  </si>
  <si>
    <t>C021</t>
  </si>
  <si>
    <t>Paul</t>
  </si>
  <si>
    <t>P004</t>
  </si>
  <si>
    <t>Charger 4</t>
  </si>
  <si>
    <t>Pen Set</t>
  </si>
  <si>
    <t>South</t>
  </si>
  <si>
    <t>Q2</t>
  </si>
  <si>
    <t>Apr</t>
  </si>
  <si>
    <t>ORD00005</t>
  </si>
  <si>
    <t>C006</t>
  </si>
  <si>
    <t>Thomas</t>
  </si>
  <si>
    <t>Q4</t>
  </si>
  <si>
    <t>Oct</t>
  </si>
  <si>
    <t>ORD00006</t>
  </si>
  <si>
    <t>C039</t>
  </si>
  <si>
    <t>Jesse</t>
  </si>
  <si>
    <t>P005</t>
  </si>
  <si>
    <t>USB Drive 5</t>
  </si>
  <si>
    <t>Backpack</t>
  </si>
  <si>
    <t>East</t>
  </si>
  <si>
    <t>Sep</t>
  </si>
  <si>
    <t>ORD00007</t>
  </si>
  <si>
    <t>C054</t>
  </si>
  <si>
    <t>Sophia</t>
  </si>
  <si>
    <t>P030</t>
  </si>
  <si>
    <t>Desk Lamp 30</t>
  </si>
  <si>
    <t>Dec</t>
  </si>
  <si>
    <t>ORD00008</t>
  </si>
  <si>
    <t>C030</t>
  </si>
  <si>
    <t>Christopher</t>
  </si>
  <si>
    <t>P033</t>
  </si>
  <si>
    <t>Chair 33</t>
  </si>
  <si>
    <t>ORD00009</t>
  </si>
  <si>
    <t>C038</t>
  </si>
  <si>
    <t>Dennis</t>
  </si>
  <si>
    <t>P002</t>
  </si>
  <si>
    <t>Desk Lamp 2</t>
  </si>
  <si>
    <t>USB Drive</t>
  </si>
  <si>
    <t>ORD00010</t>
  </si>
  <si>
    <t>C012</t>
  </si>
  <si>
    <t>Savannah</t>
  </si>
  <si>
    <t>P018</t>
  </si>
  <si>
    <t>USB Drive 18</t>
  </si>
  <si>
    <t>Feb</t>
  </si>
  <si>
    <t>ORD00011</t>
  </si>
  <si>
    <t>C068</t>
  </si>
  <si>
    <t>Khloe</t>
  </si>
  <si>
    <t>Mar</t>
  </si>
  <si>
    <t>ORD00012</t>
  </si>
  <si>
    <t>P050</t>
  </si>
  <si>
    <t>Backpack 50</t>
  </si>
  <si>
    <t>May</t>
  </si>
  <si>
    <t>ORD00013</t>
  </si>
  <si>
    <t>C051</t>
  </si>
  <si>
    <t>Clara</t>
  </si>
  <si>
    <t>P045</t>
  </si>
  <si>
    <t>Chair 45</t>
  </si>
  <si>
    <t>ORD00014</t>
  </si>
  <si>
    <t>C010</t>
  </si>
  <si>
    <t>Faith</t>
  </si>
  <si>
    <t>Aug</t>
  </si>
  <si>
    <t>ORD00015</t>
  </si>
  <si>
    <t>C036</t>
  </si>
  <si>
    <t>Andrew</t>
  </si>
  <si>
    <t>P017</t>
  </si>
  <si>
    <t>Pen Set 17</t>
  </si>
  <si>
    <t>ORD00016</t>
  </si>
  <si>
    <t>Allison</t>
  </si>
  <si>
    <t>P015</t>
  </si>
  <si>
    <t>Notebook 15</t>
  </si>
  <si>
    <t>Charger</t>
  </si>
  <si>
    <t>ORD00017</t>
  </si>
  <si>
    <t>C093</t>
  </si>
  <si>
    <t>Alan</t>
  </si>
  <si>
    <t>P028</t>
  </si>
  <si>
    <t>Notebook 28</t>
  </si>
  <si>
    <t>ORD00018</t>
  </si>
  <si>
    <t>C078</t>
  </si>
  <si>
    <t>Aurora</t>
  </si>
  <si>
    <t>P013</t>
  </si>
  <si>
    <t>USB Drive 13</t>
  </si>
  <si>
    <t>ORD00019</t>
  </si>
  <si>
    <t>C004</t>
  </si>
  <si>
    <t>Adalynn</t>
  </si>
  <si>
    <t>ORD00020</t>
  </si>
  <si>
    <t>C043</t>
  </si>
  <si>
    <t>Everly</t>
  </si>
  <si>
    <t>ORD00021</t>
  </si>
  <si>
    <t>C020</t>
  </si>
  <si>
    <t>Jonathan</t>
  </si>
  <si>
    <t>ORD00022</t>
  </si>
  <si>
    <t>C052</t>
  </si>
  <si>
    <t>Layla</t>
  </si>
  <si>
    <t>Nov</t>
  </si>
  <si>
    <t>ORD00023</t>
  </si>
  <si>
    <t>C079</t>
  </si>
  <si>
    <t>Sean</t>
  </si>
  <si>
    <t>P009</t>
  </si>
  <si>
    <t>Charger 9</t>
  </si>
  <si>
    <t>ORD00024</t>
  </si>
  <si>
    <t>Naomi</t>
  </si>
  <si>
    <t>ORD00025</t>
  </si>
  <si>
    <t>Ava</t>
  </si>
  <si>
    <t>P019</t>
  </si>
  <si>
    <t>Backpack 19</t>
  </si>
  <si>
    <t>ORD00026</t>
  </si>
  <si>
    <t>C040</t>
  </si>
  <si>
    <t>Lawrence</t>
  </si>
  <si>
    <t>P043</t>
  </si>
  <si>
    <t>USB Drive 43</t>
  </si>
  <si>
    <t>ORD00027</t>
  </si>
  <si>
    <t>C041</t>
  </si>
  <si>
    <t>Jeremy</t>
  </si>
  <si>
    <t>P001</t>
  </si>
  <si>
    <t>Desk Lamp 1</t>
  </si>
  <si>
    <t>ORD00028</t>
  </si>
  <si>
    <t>C032</t>
  </si>
  <si>
    <t>Anna</t>
  </si>
  <si>
    <t>P025</t>
  </si>
  <si>
    <t>Pen Set 25</t>
  </si>
  <si>
    <t>ORD00029</t>
  </si>
  <si>
    <t>C028</t>
  </si>
  <si>
    <t>Emery</t>
  </si>
  <si>
    <t>P041</t>
  </si>
  <si>
    <t>Desk Lamp 41</t>
  </si>
  <si>
    <t>ORD00030</t>
  </si>
  <si>
    <t>C046</t>
  </si>
  <si>
    <t>Aria</t>
  </si>
  <si>
    <t>P006</t>
  </si>
  <si>
    <t>Chair 6</t>
  </si>
  <si>
    <t>Jun</t>
  </si>
  <si>
    <t>ORD00031</t>
  </si>
  <si>
    <t>C011</t>
  </si>
  <si>
    <t>Ralph</t>
  </si>
  <si>
    <t>P042</t>
  </si>
  <si>
    <t>Backpack 42</t>
  </si>
  <si>
    <t>ORD00032</t>
  </si>
  <si>
    <t>Gerald</t>
  </si>
  <si>
    <t>P049</t>
  </si>
  <si>
    <t>USB Drive 49</t>
  </si>
  <si>
    <t>ORD00033</t>
  </si>
  <si>
    <t>Piper</t>
  </si>
  <si>
    <t>ORD00034</t>
  </si>
  <si>
    <t>Sofia</t>
  </si>
  <si>
    <t>P021</t>
  </si>
  <si>
    <t>Notebook 21</t>
  </si>
  <si>
    <t>ORD00035</t>
  </si>
  <si>
    <t>Dylan</t>
  </si>
  <si>
    <t>P010</t>
  </si>
  <si>
    <t>Notebook 10</t>
  </si>
  <si>
    <t>ORD00036</t>
  </si>
  <si>
    <t>Isabella</t>
  </si>
  <si>
    <t>P022</t>
  </si>
  <si>
    <t>USB Drive 22</t>
  </si>
  <si>
    <t>ORD00037</t>
  </si>
  <si>
    <t>C027</t>
  </si>
  <si>
    <t>P007</t>
  </si>
  <si>
    <t>Pen Set 7</t>
  </si>
  <si>
    <t>ORD00038</t>
  </si>
  <si>
    <t>C084</t>
  </si>
  <si>
    <t>Raelynn</t>
  </si>
  <si>
    <t>P026</t>
  </si>
  <si>
    <t>Charger 26</t>
  </si>
  <si>
    <t>ORD00039</t>
  </si>
  <si>
    <t>Raymond</t>
  </si>
  <si>
    <t>P027</t>
  </si>
  <si>
    <t>Charger 27</t>
  </si>
  <si>
    <t>ORD00040</t>
  </si>
  <si>
    <t>C074</t>
  </si>
  <si>
    <t>Scott</t>
  </si>
  <si>
    <t>P044</t>
  </si>
  <si>
    <t>Desk Lamp 44</t>
  </si>
  <si>
    <t>ORD00041</t>
  </si>
  <si>
    <t>Brian</t>
  </si>
  <si>
    <t>ORD00042</t>
  </si>
  <si>
    <t>C019</t>
  </si>
  <si>
    <t>Madeline</t>
  </si>
  <si>
    <t>ORD00043</t>
  </si>
  <si>
    <t>C042</t>
  </si>
  <si>
    <t>Delilah</t>
  </si>
  <si>
    <t>ORD00044</t>
  </si>
  <si>
    <t>C094</t>
  </si>
  <si>
    <t>Keith</t>
  </si>
  <si>
    <t>ORD00045</t>
  </si>
  <si>
    <t>C092</t>
  </si>
  <si>
    <t>Charlie</t>
  </si>
  <si>
    <t>ORD00046</t>
  </si>
  <si>
    <t>Joshua</t>
  </si>
  <si>
    <t>ORD00047</t>
  </si>
  <si>
    <t>Roy</t>
  </si>
  <si>
    <t>P012</t>
  </si>
  <si>
    <t>Chair 12</t>
  </si>
  <si>
    <t>ORD00048</t>
  </si>
  <si>
    <t>P011</t>
  </si>
  <si>
    <t>Desk Lamp 11</t>
  </si>
  <si>
    <t>Desk Lamp</t>
  </si>
  <si>
    <t>ORD00049</t>
  </si>
  <si>
    <t>C095</t>
  </si>
  <si>
    <t>Serenity</t>
  </si>
  <si>
    <t>ORD00050</t>
  </si>
  <si>
    <t>Ashley</t>
  </si>
  <si>
    <t>ORD00051</t>
  </si>
  <si>
    <t>C022</t>
  </si>
  <si>
    <t>Lucy</t>
  </si>
  <si>
    <t>P034</t>
  </si>
  <si>
    <t>USB Drive 34</t>
  </si>
  <si>
    <t>ORD00052</t>
  </si>
  <si>
    <t>C033</t>
  </si>
  <si>
    <t>P037</t>
  </si>
  <si>
    <t>Charger 37</t>
  </si>
  <si>
    <t>ORD00053</t>
  </si>
  <si>
    <t>C065</t>
  </si>
  <si>
    <t>Donald</t>
  </si>
  <si>
    <t>ORD00054</t>
  </si>
  <si>
    <t>C035</t>
  </si>
  <si>
    <t>Mark</t>
  </si>
  <si>
    <t>P008</t>
  </si>
  <si>
    <t>Backpack 8</t>
  </si>
  <si>
    <t>ORD00055</t>
  </si>
  <si>
    <t>C061</t>
  </si>
  <si>
    <t>Austin</t>
  </si>
  <si>
    <t>ORD00056</t>
  </si>
  <si>
    <t>C057</t>
  </si>
  <si>
    <t>Emily</t>
  </si>
  <si>
    <t>P038</t>
  </si>
  <si>
    <t>Charger 38</t>
  </si>
  <si>
    <t>ORD00057</t>
  </si>
  <si>
    <t>Arya</t>
  </si>
  <si>
    <t>ORD00058</t>
  </si>
  <si>
    <t>ORD00059</t>
  </si>
  <si>
    <t>Gabriel</t>
  </si>
  <si>
    <t>ORD00060</t>
  </si>
  <si>
    <t>C018</t>
  </si>
  <si>
    <t>Matthew</t>
  </si>
  <si>
    <t>ORD00061</t>
  </si>
  <si>
    <t>C100</t>
  </si>
  <si>
    <t>Mackenzie</t>
  </si>
  <si>
    <t>ORD00062</t>
  </si>
  <si>
    <t>C073</t>
  </si>
  <si>
    <t>ORD00063</t>
  </si>
  <si>
    <t>C026</t>
  </si>
  <si>
    <t>Bryan</t>
  </si>
  <si>
    <t>ORD00064</t>
  </si>
  <si>
    <t>C076</t>
  </si>
  <si>
    <t>Emma</t>
  </si>
  <si>
    <t>ORD00065</t>
  </si>
  <si>
    <t>C013</t>
  </si>
  <si>
    <t>ORD00066</t>
  </si>
  <si>
    <t>Noah</t>
  </si>
  <si>
    <t>ORD00067</t>
  </si>
  <si>
    <t>C037</t>
  </si>
  <si>
    <t>ORD00068</t>
  </si>
  <si>
    <t>Zachary</t>
  </si>
  <si>
    <t>P016</t>
  </si>
  <si>
    <t>Backpack 16</t>
  </si>
  <si>
    <t>ORD00069</t>
  </si>
  <si>
    <t>C029</t>
  </si>
  <si>
    <t>ORD00070</t>
  </si>
  <si>
    <t>ORD00071</t>
  </si>
  <si>
    <t>C097</t>
  </si>
  <si>
    <t>Stephen</t>
  </si>
  <si>
    <t>ORD00072</t>
  </si>
  <si>
    <t>ORD00073</t>
  </si>
  <si>
    <t>C075</t>
  </si>
  <si>
    <t>Vivian</t>
  </si>
  <si>
    <t>ORD00074</t>
  </si>
  <si>
    <t>C096</t>
  </si>
  <si>
    <t>Amelia</t>
  </si>
  <si>
    <t>P014</t>
  </si>
  <si>
    <t>Backpack 14</t>
  </si>
  <si>
    <t>ORD00075</t>
  </si>
  <si>
    <t>C059</t>
  </si>
  <si>
    <t>Lillian</t>
  </si>
  <si>
    <t>ORD00076</t>
  </si>
  <si>
    <t>C071</t>
  </si>
  <si>
    <t>Bradley</t>
  </si>
  <si>
    <t>ORD00077</t>
  </si>
  <si>
    <t>Chloe</t>
  </si>
  <si>
    <t>ORD00078</t>
  </si>
  <si>
    <t>Harper</t>
  </si>
  <si>
    <t>ORD00079</t>
  </si>
  <si>
    <t>ORD00080</t>
  </si>
  <si>
    <t>C016</t>
  </si>
  <si>
    <t>Ethan</t>
  </si>
  <si>
    <t>ORD00081</t>
  </si>
  <si>
    <t>Grace</t>
  </si>
  <si>
    <t>ORD00082</t>
  </si>
  <si>
    <t>Maria</t>
  </si>
  <si>
    <t>P046</t>
  </si>
  <si>
    <t>Desk Lamp 46</t>
  </si>
  <si>
    <t>ORD00083</t>
  </si>
  <si>
    <t>C081</t>
  </si>
  <si>
    <t>P032</t>
  </si>
  <si>
    <t>USB Drive 32</t>
  </si>
  <si>
    <t>ORD00084</t>
  </si>
  <si>
    <t>ORD00085</t>
  </si>
  <si>
    <t>ORD00086</t>
  </si>
  <si>
    <t>Jade</t>
  </si>
  <si>
    <t>P040</t>
  </si>
  <si>
    <t>Backpack 40</t>
  </si>
  <si>
    <t>ORD00087</t>
  </si>
  <si>
    <t>ORD00088</t>
  </si>
  <si>
    <t>Justin</t>
  </si>
  <si>
    <t>ORD00089</t>
  </si>
  <si>
    <t>Gianna</t>
  </si>
  <si>
    <t>ORD00090</t>
  </si>
  <si>
    <t>Christian</t>
  </si>
  <si>
    <t>ORD00091</t>
  </si>
  <si>
    <t>C053</t>
  </si>
  <si>
    <t>ORD00092</t>
  </si>
  <si>
    <t>Isla</t>
  </si>
  <si>
    <t>ORD00093</t>
  </si>
  <si>
    <t>C050</t>
  </si>
  <si>
    <t>Harold</t>
  </si>
  <si>
    <t>ORD00094</t>
  </si>
  <si>
    <t>ORD00095</t>
  </si>
  <si>
    <t>ORD00096</t>
  </si>
  <si>
    <t>Evelyn</t>
  </si>
  <si>
    <t>ORD00097</t>
  </si>
  <si>
    <t>Joe</t>
  </si>
  <si>
    <t>ORD00098</t>
  </si>
  <si>
    <t>C062</t>
  </si>
  <si>
    <t>P020</t>
  </si>
  <si>
    <t>Desk Lamp 20</t>
  </si>
  <si>
    <t>ORD00099</t>
  </si>
  <si>
    <t>Kenneth</t>
  </si>
  <si>
    <t>ORD00100</t>
  </si>
  <si>
    <t>C003</t>
  </si>
  <si>
    <t>Benjamin</t>
  </si>
  <si>
    <t>ORD00101</t>
  </si>
  <si>
    <t>Penelope</t>
  </si>
  <si>
    <t>ORD00102</t>
  </si>
  <si>
    <t>C063</t>
  </si>
  <si>
    <t>Randy</t>
  </si>
  <si>
    <t>ORD00103</t>
  </si>
  <si>
    <t>Adeline</t>
  </si>
  <si>
    <t>ORD00104</t>
  </si>
  <si>
    <t>C099</t>
  </si>
  <si>
    <t>Charles</t>
  </si>
  <si>
    <t>ORD00105</t>
  </si>
  <si>
    <t>C025</t>
  </si>
  <si>
    <t>Maya</t>
  </si>
  <si>
    <t>ORD00106</t>
  </si>
  <si>
    <t>Autumn</t>
  </si>
  <si>
    <t>ORD00107</t>
  </si>
  <si>
    <t>Jerry</t>
  </si>
  <si>
    <t>ORD00108</t>
  </si>
  <si>
    <t>ORD00109</t>
  </si>
  <si>
    <t>Aubrey</t>
  </si>
  <si>
    <t>ORD00110</t>
  </si>
  <si>
    <t>Bruce</t>
  </si>
  <si>
    <t>ORD00111</t>
  </si>
  <si>
    <t>C082</t>
  </si>
  <si>
    <t>ORD00112</t>
  </si>
  <si>
    <t>C058</t>
  </si>
  <si>
    <t>Hailey</t>
  </si>
  <si>
    <t>ORD00113</t>
  </si>
  <si>
    <t>Brielle</t>
  </si>
  <si>
    <t>P031</t>
  </si>
  <si>
    <t>Backpack 31</t>
  </si>
  <si>
    <t>ORD00114</t>
  </si>
  <si>
    <t>Julia</t>
  </si>
  <si>
    <t>ORD00115</t>
  </si>
  <si>
    <t>Willow</t>
  </si>
  <si>
    <t>ORD00116</t>
  </si>
  <si>
    <t>Larry</t>
  </si>
  <si>
    <t>ORD00117</t>
  </si>
  <si>
    <t>C069</t>
  </si>
  <si>
    <t>Johnny</t>
  </si>
  <si>
    <t>P035</t>
  </si>
  <si>
    <t>Charger 35</t>
  </si>
  <si>
    <t>ORD00118</t>
  </si>
  <si>
    <t>ORD00119</t>
  </si>
  <si>
    <t>C055</t>
  </si>
  <si>
    <t>P047</t>
  </si>
  <si>
    <t>Pen Set 47</t>
  </si>
  <si>
    <t>ORD00120</t>
  </si>
  <si>
    <t>Jeffrey</t>
  </si>
  <si>
    <t>ORD00121</t>
  </si>
  <si>
    <t>C002</t>
  </si>
  <si>
    <t>Olivia</t>
  </si>
  <si>
    <t>ORD00122</t>
  </si>
  <si>
    <t>ORD00123</t>
  </si>
  <si>
    <t>Liliana</t>
  </si>
  <si>
    <t>ORD00124</t>
  </si>
  <si>
    <t>ORD00125</t>
  </si>
  <si>
    <t>Emilia</t>
  </si>
  <si>
    <t>ORD00126</t>
  </si>
  <si>
    <t>Mila</t>
  </si>
  <si>
    <t>ORD00127</t>
  </si>
  <si>
    <t>C067</t>
  </si>
  <si>
    <t>ORD00128</t>
  </si>
  <si>
    <t>C070</t>
  </si>
  <si>
    <t>ORD00129</t>
  </si>
  <si>
    <t>Eleanor</t>
  </si>
  <si>
    <t>ORD00130</t>
  </si>
  <si>
    <t>C064</t>
  </si>
  <si>
    <t>ORD00131</t>
  </si>
  <si>
    <t>Eugene</t>
  </si>
  <si>
    <t>P036</t>
  </si>
  <si>
    <t>Chair 36</t>
  </si>
  <si>
    <t>ORD00132</t>
  </si>
  <si>
    <t>C023</t>
  </si>
  <si>
    <t>ORD00133</t>
  </si>
  <si>
    <t>ORD00134</t>
  </si>
  <si>
    <t>ORD00135</t>
  </si>
  <si>
    <t>ORD00136</t>
  </si>
  <si>
    <t>Quinn</t>
  </si>
  <si>
    <t>ORD00137</t>
  </si>
  <si>
    <t>C072</t>
  </si>
  <si>
    <t>Iris</t>
  </si>
  <si>
    <t>ORD00138</t>
  </si>
  <si>
    <t>Eva</t>
  </si>
  <si>
    <t>ORD00139</t>
  </si>
  <si>
    <t>Eric</t>
  </si>
  <si>
    <t>P003</t>
  </si>
  <si>
    <t>Pen Set 3</t>
  </si>
  <si>
    <t>ORD00140</t>
  </si>
  <si>
    <t>ORD00141</t>
  </si>
  <si>
    <t>ORD00142</t>
  </si>
  <si>
    <t>ORD00143</t>
  </si>
  <si>
    <t>C085</t>
  </si>
  <si>
    <t>Natalia</t>
  </si>
  <si>
    <t>ORD00144</t>
  </si>
  <si>
    <t>ORD00145</t>
  </si>
  <si>
    <t>ORD00146</t>
  </si>
  <si>
    <t>Jose</t>
  </si>
  <si>
    <t>ORD00147</t>
  </si>
  <si>
    <t>Samantha</t>
  </si>
  <si>
    <t>ORD00148</t>
  </si>
  <si>
    <t>Scarlett</t>
  </si>
  <si>
    <t>ORD00149</t>
  </si>
  <si>
    <t>Louis</t>
  </si>
  <si>
    <t>ORD00150</t>
  </si>
  <si>
    <t>C077</t>
  </si>
  <si>
    <t>ORD00151</t>
  </si>
  <si>
    <t>Willie</t>
  </si>
  <si>
    <t>ORD00152</t>
  </si>
  <si>
    <t>C080</t>
  </si>
  <si>
    <t>ORD00153</t>
  </si>
  <si>
    <t>Hazel</t>
  </si>
  <si>
    <t>ORD00154</t>
  </si>
  <si>
    <t>C031</t>
  </si>
  <si>
    <t>Avery</t>
  </si>
  <si>
    <t>ORD00155</t>
  </si>
  <si>
    <t>C088</t>
  </si>
  <si>
    <t>ORD00156</t>
  </si>
  <si>
    <t>C007</t>
  </si>
  <si>
    <t>Peter</t>
  </si>
  <si>
    <t>ORD00157</t>
  </si>
  <si>
    <t>ORD00158</t>
  </si>
  <si>
    <t>ORD00159</t>
  </si>
  <si>
    <t>Cora</t>
  </si>
  <si>
    <t>ORD00160</t>
  </si>
  <si>
    <t>C001</t>
  </si>
  <si>
    <t>ORD00161</t>
  </si>
  <si>
    <t>ORD00162</t>
  </si>
  <si>
    <t>ORD00163</t>
  </si>
  <si>
    <t>Josephine</t>
  </si>
  <si>
    <t>P023</t>
  </si>
  <si>
    <t>USB Drive 23</t>
  </si>
  <si>
    <t>ORD00164</t>
  </si>
  <si>
    <t>ORD00165</t>
  </si>
  <si>
    <t>Luna</t>
  </si>
  <si>
    <t>ORD00166</t>
  </si>
  <si>
    <t>ORD00167</t>
  </si>
  <si>
    <t>Nova</t>
  </si>
  <si>
    <t>ORD00168</t>
  </si>
  <si>
    <t>Nevaeh</t>
  </si>
  <si>
    <t>ORD00169</t>
  </si>
  <si>
    <t>ORD00170</t>
  </si>
  <si>
    <t>Ronald</t>
  </si>
  <si>
    <t>ORD00171</t>
  </si>
  <si>
    <t>C034</t>
  </si>
  <si>
    <t>ORD00172</t>
  </si>
  <si>
    <t>Adam</t>
  </si>
  <si>
    <t>ORD00173</t>
  </si>
  <si>
    <t>Walter</t>
  </si>
  <si>
    <t>ORD00174</t>
  </si>
  <si>
    <t>Vincent</t>
  </si>
  <si>
    <t>ORD00175</t>
  </si>
  <si>
    <t>Jason</t>
  </si>
  <si>
    <t>ORD00176</t>
  </si>
  <si>
    <t>C056</t>
  </si>
  <si>
    <t>Valentina</t>
  </si>
  <si>
    <t>ORD00177</t>
  </si>
  <si>
    <t>ORD00178</t>
  </si>
  <si>
    <t>George</t>
  </si>
  <si>
    <t>ORD00179</t>
  </si>
  <si>
    <t>Ryan</t>
  </si>
  <si>
    <t>ORD00180</t>
  </si>
  <si>
    <t>ORD00181</t>
  </si>
  <si>
    <t>P029</t>
  </si>
  <si>
    <t>Notebook 29</t>
  </si>
  <si>
    <t>ORD00182</t>
  </si>
  <si>
    <t>ORD00183</t>
  </si>
  <si>
    <t>Mia</t>
  </si>
  <si>
    <t>ORD00184</t>
  </si>
  <si>
    <t>ORD00185</t>
  </si>
  <si>
    <t>ORD00186</t>
  </si>
  <si>
    <t>Michael</t>
  </si>
  <si>
    <t>ORD00187</t>
  </si>
  <si>
    <t>C014</t>
  </si>
  <si>
    <t>Natalie</t>
  </si>
  <si>
    <t>ORD00188</t>
  </si>
  <si>
    <t>C047</t>
  </si>
  <si>
    <t>ORD00189</t>
  </si>
  <si>
    <t>ORD00190</t>
  </si>
  <si>
    <t>Rose</t>
  </si>
  <si>
    <t>ORD00191</t>
  </si>
  <si>
    <t>ORD00192</t>
  </si>
  <si>
    <t>Skylar</t>
  </si>
  <si>
    <t>ORD00193</t>
  </si>
  <si>
    <t>ORD00194</t>
  </si>
  <si>
    <t>Charlotte</t>
  </si>
  <si>
    <t>ORD00195</t>
  </si>
  <si>
    <t>C005</t>
  </si>
  <si>
    <t>Aaliyah</t>
  </si>
  <si>
    <t>ORD00196</t>
  </si>
  <si>
    <t>James</t>
  </si>
  <si>
    <t>ORD00197</t>
  </si>
  <si>
    <t>Kyle</t>
  </si>
  <si>
    <t>ORD00198</t>
  </si>
  <si>
    <t>ORD00199</t>
  </si>
  <si>
    <t>ORD00200</t>
  </si>
  <si>
    <t>Albert</t>
  </si>
  <si>
    <t>ORD00201</t>
  </si>
  <si>
    <t>C044</t>
  </si>
  <si>
    <t>ORD00202</t>
  </si>
  <si>
    <t>Nora</t>
  </si>
  <si>
    <t>ORD00203</t>
  </si>
  <si>
    <t>ORD00204</t>
  </si>
  <si>
    <t>Kennedy</t>
  </si>
  <si>
    <t>ORD00205</t>
  </si>
  <si>
    <t>C049</t>
  </si>
  <si>
    <t>Claire</t>
  </si>
  <si>
    <t>ORD00206</t>
  </si>
  <si>
    <t>ORD00207</t>
  </si>
  <si>
    <t>Eliza</t>
  </si>
  <si>
    <t>ORD00208</t>
  </si>
  <si>
    <t>Everleigh</t>
  </si>
  <si>
    <t>ORD00209</t>
  </si>
  <si>
    <t>Tyler</t>
  </si>
  <si>
    <t>ORD00210</t>
  </si>
  <si>
    <t>Henry</t>
  </si>
  <si>
    <t>ORD00211</t>
  </si>
  <si>
    <t>ORD00212</t>
  </si>
  <si>
    <t>C008</t>
  </si>
  <si>
    <t>ORD00213</t>
  </si>
  <si>
    <t>Ariana</t>
  </si>
  <si>
    <t>ORD00214</t>
  </si>
  <si>
    <t>ORD00215</t>
  </si>
  <si>
    <t>ORD00216</t>
  </si>
  <si>
    <t>ORD00217</t>
  </si>
  <si>
    <t>ORD00218</t>
  </si>
  <si>
    <t>Madelyn</t>
  </si>
  <si>
    <t>ORD00219</t>
  </si>
  <si>
    <t>ORD00220</t>
  </si>
  <si>
    <t>Melody</t>
  </si>
  <si>
    <t>ORD00221</t>
  </si>
  <si>
    <t>ORD00222</t>
  </si>
  <si>
    <t>ORD00223</t>
  </si>
  <si>
    <t>ORD00224</t>
  </si>
  <si>
    <t>ORD00225</t>
  </si>
  <si>
    <t>Gabriella</t>
  </si>
  <si>
    <t>ORD00226</t>
  </si>
  <si>
    <t>C060</t>
  </si>
  <si>
    <t>ORD00227</t>
  </si>
  <si>
    <t>Nathan</t>
  </si>
  <si>
    <t>ORD00228</t>
  </si>
  <si>
    <t>Ximena</t>
  </si>
  <si>
    <t>ORD00229</t>
  </si>
  <si>
    <t>ORD00230</t>
  </si>
  <si>
    <t>ORD00231</t>
  </si>
  <si>
    <t>ORD00232</t>
  </si>
  <si>
    <t>ORD00233</t>
  </si>
  <si>
    <t>ORD00234</t>
  </si>
  <si>
    <t>Ellie</t>
  </si>
  <si>
    <t>ORD00235</t>
  </si>
  <si>
    <t>ORD00236</t>
  </si>
  <si>
    <t>ORD00237</t>
  </si>
  <si>
    <t>ORD00238</t>
  </si>
  <si>
    <t>ORD00239</t>
  </si>
  <si>
    <t>ORD00240</t>
  </si>
  <si>
    <t>ORD00241</t>
  </si>
  <si>
    <t>Steven</t>
  </si>
  <si>
    <t>ORD00242</t>
  </si>
  <si>
    <t>ORD00243</t>
  </si>
  <si>
    <t>C045</t>
  </si>
  <si>
    <t>ORD00244</t>
  </si>
  <si>
    <t>Zoe</t>
  </si>
  <si>
    <t>ORD00245</t>
  </si>
  <si>
    <t>ORD00246</t>
  </si>
  <si>
    <t>Paisley</t>
  </si>
  <si>
    <t>ORD00247</t>
  </si>
  <si>
    <t>Arthur</t>
  </si>
  <si>
    <t>ORD00248</t>
  </si>
  <si>
    <t>Leilani</t>
  </si>
  <si>
    <t>ORD00249</t>
  </si>
  <si>
    <t>Audrey</t>
  </si>
  <si>
    <t>ORD00250</t>
  </si>
  <si>
    <t>ORD00251</t>
  </si>
  <si>
    <t>ORD00252</t>
  </si>
  <si>
    <t>Andrea</t>
  </si>
  <si>
    <t>ORD00253</t>
  </si>
  <si>
    <t>C089</t>
  </si>
  <si>
    <t>Nicholas</t>
  </si>
  <si>
    <t>ORD00254</t>
  </si>
  <si>
    <t>ORD00255</t>
  </si>
  <si>
    <t>ORD00256</t>
  </si>
  <si>
    <t>ORD00257</t>
  </si>
  <si>
    <t>ORD00258</t>
  </si>
  <si>
    <t>C024</t>
  </si>
  <si>
    <t>ORD00259</t>
  </si>
  <si>
    <t>ORD00260</t>
  </si>
  <si>
    <t>ORD00261</t>
  </si>
  <si>
    <t>Gregory</t>
  </si>
  <si>
    <t>ORD00262</t>
  </si>
  <si>
    <t>ORD00263</t>
  </si>
  <si>
    <t>ORD00264</t>
  </si>
  <si>
    <t>ORD00265</t>
  </si>
  <si>
    <t>ORD00266</t>
  </si>
  <si>
    <t>ORD00267</t>
  </si>
  <si>
    <t>ORD00268</t>
  </si>
  <si>
    <t>Edward</t>
  </si>
  <si>
    <t>ORD00269</t>
  </si>
  <si>
    <t>ORD00270</t>
  </si>
  <si>
    <t>Sophie</t>
  </si>
  <si>
    <t>ORD00271</t>
  </si>
  <si>
    <t>ORD00272</t>
  </si>
  <si>
    <t>ORD00273</t>
  </si>
  <si>
    <t>ORD00274</t>
  </si>
  <si>
    <t>ORD00275</t>
  </si>
  <si>
    <t>ORD00276</t>
  </si>
  <si>
    <t>ORD00277</t>
  </si>
  <si>
    <t>C098</t>
  </si>
  <si>
    <t>Madison</t>
  </si>
  <si>
    <t>ORD00278</t>
  </si>
  <si>
    <t>Ivy</t>
  </si>
  <si>
    <t>ORD00279</t>
  </si>
  <si>
    <t>Terry</t>
  </si>
  <si>
    <t>ORD00280</t>
  </si>
  <si>
    <t>ORD00281</t>
  </si>
  <si>
    <t>Carl</t>
  </si>
  <si>
    <t>ORD00282</t>
  </si>
  <si>
    <t>ORD00283</t>
  </si>
  <si>
    <t>Ella</t>
  </si>
  <si>
    <t>ORD00284</t>
  </si>
  <si>
    <t>ORD00285</t>
  </si>
  <si>
    <t>ORD00286</t>
  </si>
  <si>
    <t>ORD00287</t>
  </si>
  <si>
    <t>ORD00288</t>
  </si>
  <si>
    <t>ORD00289</t>
  </si>
  <si>
    <t>ORD00290</t>
  </si>
  <si>
    <t>ORD00291</t>
  </si>
  <si>
    <t>ORD00292</t>
  </si>
  <si>
    <t>C015</t>
  </si>
  <si>
    <t>ORD00293</t>
  </si>
  <si>
    <t>ORD00294</t>
  </si>
  <si>
    <t>ORD00295</t>
  </si>
  <si>
    <t>ORD00296</t>
  </si>
  <si>
    <t>ORD00297</t>
  </si>
  <si>
    <t>Frank</t>
  </si>
  <si>
    <t>ORD00298</t>
  </si>
  <si>
    <t>ORD00299</t>
  </si>
  <si>
    <t>Joseph</t>
  </si>
  <si>
    <t>ORD00300</t>
  </si>
  <si>
    <t>ORD00301</t>
  </si>
  <si>
    <t>ORD00302</t>
  </si>
  <si>
    <t>Hadley</t>
  </si>
  <si>
    <t>ORD00303</t>
  </si>
  <si>
    <t>Gary</t>
  </si>
  <si>
    <t>ORD00304</t>
  </si>
  <si>
    <t>ORD00305</t>
  </si>
  <si>
    <t>ORD00306</t>
  </si>
  <si>
    <t>Bobby</t>
  </si>
  <si>
    <t>ORD00307</t>
  </si>
  <si>
    <t>ORD00308</t>
  </si>
  <si>
    <t>ORD00309</t>
  </si>
  <si>
    <t>ORD00310</t>
  </si>
  <si>
    <t>ORD00311</t>
  </si>
  <si>
    <t>C017</t>
  </si>
  <si>
    <t>ORD00312</t>
  </si>
  <si>
    <t>ORD00313</t>
  </si>
  <si>
    <t>ORD00314</t>
  </si>
  <si>
    <t>Kinsley</t>
  </si>
  <si>
    <t>ORD00315</t>
  </si>
  <si>
    <t>ORD00316</t>
  </si>
  <si>
    <t>ORD00317</t>
  </si>
  <si>
    <t>ORD00318</t>
  </si>
  <si>
    <t>ORD00319</t>
  </si>
  <si>
    <t>ORD00320</t>
  </si>
  <si>
    <t>ORD00321</t>
  </si>
  <si>
    <t>ORD00322</t>
  </si>
  <si>
    <t>Zoey</t>
  </si>
  <si>
    <t>ORD00323</t>
  </si>
  <si>
    <t>ORD00324</t>
  </si>
  <si>
    <t>ORD00325</t>
  </si>
  <si>
    <t>Genesis</t>
  </si>
  <si>
    <t>ORD00326</t>
  </si>
  <si>
    <t>ORD00327</t>
  </si>
  <si>
    <t>Daniel</t>
  </si>
  <si>
    <t>ORD00328</t>
  </si>
  <si>
    <t>ORD00329</t>
  </si>
  <si>
    <t>Douglas</t>
  </si>
  <si>
    <t>ORD00330</t>
  </si>
  <si>
    <t>Stella</t>
  </si>
  <si>
    <t>ORD00331</t>
  </si>
  <si>
    <t>ORD00332</t>
  </si>
  <si>
    <t>ORD00333</t>
  </si>
  <si>
    <t>ORD00334</t>
  </si>
  <si>
    <t>ORD00335</t>
  </si>
  <si>
    <t>ORD00336</t>
  </si>
  <si>
    <t>ORD00337</t>
  </si>
  <si>
    <t>ORD00338</t>
  </si>
  <si>
    <t>Brandon</t>
  </si>
  <si>
    <t>ORD00339</t>
  </si>
  <si>
    <t>Logan</t>
  </si>
  <si>
    <t>ORD00340</t>
  </si>
  <si>
    <t>John</t>
  </si>
  <si>
    <t>ORD00341</t>
  </si>
  <si>
    <t>ORD00342</t>
  </si>
  <si>
    <t>ORD00343</t>
  </si>
  <si>
    <t>Jack</t>
  </si>
  <si>
    <t>ORD00344</t>
  </si>
  <si>
    <t>C048</t>
  </si>
  <si>
    <t>ORD00345</t>
  </si>
  <si>
    <t>ORD00346</t>
  </si>
  <si>
    <t>ORD00347</t>
  </si>
  <si>
    <t>ORD00348</t>
  </si>
  <si>
    <t>ORD00349</t>
  </si>
  <si>
    <t>Bella</t>
  </si>
  <si>
    <t>ORD00350</t>
  </si>
  <si>
    <t>ORD00351</t>
  </si>
  <si>
    <t>ORD00352</t>
  </si>
  <si>
    <t>ORD00353</t>
  </si>
  <si>
    <t>ORD00354</t>
  </si>
  <si>
    <t>Philip</t>
  </si>
  <si>
    <t>ORD00355</t>
  </si>
  <si>
    <t>ORD00356</t>
  </si>
  <si>
    <t>ORD00357</t>
  </si>
  <si>
    <t>ORD00358</t>
  </si>
  <si>
    <t>ORD00359</t>
  </si>
  <si>
    <t>ORD00360</t>
  </si>
  <si>
    <t>ORD00361</t>
  </si>
  <si>
    <t>ORD00362</t>
  </si>
  <si>
    <t>ORD00363</t>
  </si>
  <si>
    <t>ORD00364</t>
  </si>
  <si>
    <t>ORD00365</t>
  </si>
  <si>
    <t>Camila</t>
  </si>
  <si>
    <t>ORD00366</t>
  </si>
  <si>
    <t>C066</t>
  </si>
  <si>
    <t>ORD00367</t>
  </si>
  <si>
    <t>ORD00368</t>
  </si>
  <si>
    <t>Billy</t>
  </si>
  <si>
    <t>ORD00369</t>
  </si>
  <si>
    <t>ORD00370</t>
  </si>
  <si>
    <t>ORD00371</t>
  </si>
  <si>
    <t>ORD00372</t>
  </si>
  <si>
    <t>ORD00373</t>
  </si>
  <si>
    <t>ORD00374</t>
  </si>
  <si>
    <t>William</t>
  </si>
  <si>
    <t>ORD00375</t>
  </si>
  <si>
    <t>Rylee</t>
  </si>
  <si>
    <t>ORD00376</t>
  </si>
  <si>
    <t>ORD00377</t>
  </si>
  <si>
    <t>Riley</t>
  </si>
  <si>
    <t>ORD00378</t>
  </si>
  <si>
    <t>ORD00379</t>
  </si>
  <si>
    <t>ORD00380</t>
  </si>
  <si>
    <t>ORD00381</t>
  </si>
  <si>
    <t>ORD00382</t>
  </si>
  <si>
    <t>ORD00383</t>
  </si>
  <si>
    <t>ORD00384</t>
  </si>
  <si>
    <t>Alice</t>
  </si>
  <si>
    <t>ORD00385</t>
  </si>
  <si>
    <t>ORD00386</t>
  </si>
  <si>
    <t>ORD00387</t>
  </si>
  <si>
    <t>ORD00388</t>
  </si>
  <si>
    <t>ORD00389</t>
  </si>
  <si>
    <t>ORD00390</t>
  </si>
  <si>
    <t>ORD00391</t>
  </si>
  <si>
    <t>ORD00392</t>
  </si>
  <si>
    <t>ORD00393</t>
  </si>
  <si>
    <t>Anthony</t>
  </si>
  <si>
    <t>ORD00394</t>
  </si>
  <si>
    <t>ORD00395</t>
  </si>
  <si>
    <t>Violet</t>
  </si>
  <si>
    <t>ORD00396</t>
  </si>
  <si>
    <t>ORD00397</t>
  </si>
  <si>
    <t>ORD00398</t>
  </si>
  <si>
    <t>ORD00399</t>
  </si>
  <si>
    <t>Elizabeth</t>
  </si>
  <si>
    <t>ORD00400</t>
  </si>
  <si>
    <t>ORD00401</t>
  </si>
  <si>
    <t>ORD00402</t>
  </si>
  <si>
    <t>ORD00403</t>
  </si>
  <si>
    <t>ORD00404</t>
  </si>
  <si>
    <t>Brooklyn</t>
  </si>
  <si>
    <t>ORD00405</t>
  </si>
  <si>
    <t>ORD00406</t>
  </si>
  <si>
    <t>ORD00407</t>
  </si>
  <si>
    <t>ORD00408</t>
  </si>
  <si>
    <t>ORD00409</t>
  </si>
  <si>
    <t>C086</t>
  </si>
  <si>
    <t>ORD00410</t>
  </si>
  <si>
    <t>David</t>
  </si>
  <si>
    <t>ORD00411</t>
  </si>
  <si>
    <t>Aaron</t>
  </si>
  <si>
    <t>ORD00412</t>
  </si>
  <si>
    <t>ORD00413</t>
  </si>
  <si>
    <t>ORD00414</t>
  </si>
  <si>
    <t>ORD00415</t>
  </si>
  <si>
    <t>ORD00416</t>
  </si>
  <si>
    <t>Abigail</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</si>
  <si>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</si>
  <si>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</si>
  <si>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</si>
  <si>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</si>
  <si>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</si>
  <si>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</si>
  <si>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</si>
  <si>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</si>
  <si>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</si>
  <si>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</si>
  <si>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</si>
  <si>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</si>
  <si>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</si>
  <si>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</si>
  <si>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</si>
  <si>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</si>
  <si>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</si>
  <si>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</si>
  <si>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</si>
  <si>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</si>
  <si>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</si>
  <si>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</si>
  <si>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</si>
  <si>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</si>
  <si>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</si>
  <si>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C009</t>
  </si>
  <si>
    <t>Lily</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</si>
  <si>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</si>
  <si>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</si>
  <si>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</si>
  <si>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</si>
  <si>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</si>
  <si>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</si>
  <si>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</si>
  <si>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</si>
  <si>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</si>
  <si>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</si>
  <si>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</si>
  <si>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</si>
  <si>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</si>
  <si>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</si>
  <si>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</si>
  <si>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</si>
  <si>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Hannah</t>
  </si>
  <si>
    <t>ORD00458</t>
  </si>
  <si>
    <t>ORD00459</t>
  </si>
  <si>
    <t>Sarah</t>
  </si>
  <si>
    <t>ORD00460</t>
  </si>
  <si>
    <t>ORD00461</t>
  </si>
  <si>
    <t>ORD00462</t>
  </si>
  <si>
    <t>ORD00463</t>
  </si>
  <si>
    <t>ORD00464</t>
  </si>
  <si>
    <t>ORD00465</t>
  </si>
  <si>
    <t>Alexander</t>
  </si>
  <si>
    <t>ORD00466</t>
  </si>
  <si>
    <t>ORD00467</t>
  </si>
  <si>
    <t>Jacob</t>
  </si>
  <si>
    <t>ORD00468</t>
  </si>
  <si>
    <t>ORD00469</t>
  </si>
  <si>
    <t>ORD00470</t>
  </si>
  <si>
    <t>ORD00471</t>
  </si>
  <si>
    <t>ORD00472</t>
  </si>
  <si>
    <t>ORD00473</t>
  </si>
  <si>
    <t>Robert</t>
  </si>
  <si>
    <t>ORD00474</t>
  </si>
  <si>
    <t>ORD00475</t>
  </si>
  <si>
    <t>ORD00476</t>
  </si>
  <si>
    <t>ORD00477</t>
  </si>
  <si>
    <t>ORD00478</t>
  </si>
  <si>
    <t>C091</t>
  </si>
  <si>
    <t>ORD00479</t>
  </si>
  <si>
    <t>ORD00480</t>
  </si>
  <si>
    <t>ORD00481</t>
  </si>
  <si>
    <t>ORD00482</t>
  </si>
  <si>
    <t>ORD00483</t>
  </si>
  <si>
    <t>ORD00484</t>
  </si>
  <si>
    <t>ORD00485</t>
  </si>
  <si>
    <t>ORD00486</t>
  </si>
  <si>
    <t>ORD00487</t>
  </si>
  <si>
    <t>ORD00488</t>
  </si>
  <si>
    <t>ORD00489</t>
  </si>
  <si>
    <t>ORD00490</t>
  </si>
  <si>
    <t>ORD00491</t>
  </si>
  <si>
    <t>ORD00492</t>
  </si>
  <si>
    <t>Addison</t>
  </si>
  <si>
    <t>ORD00493</t>
  </si>
  <si>
    <t>Lydia</t>
  </si>
  <si>
    <t>ORD00494</t>
  </si>
  <si>
    <t>ORD00495</t>
  </si>
  <si>
    <t>ORD00496</t>
  </si>
  <si>
    <t>ORD00497</t>
  </si>
  <si>
    <t>ORD00498</t>
  </si>
  <si>
    <t>ORD00499</t>
  </si>
  <si>
    <t>ORD00500</t>
  </si>
  <si>
    <t>Sum of Sales Amount</t>
  </si>
  <si>
    <t>Sum of Quantity Sold</t>
  </si>
  <si>
    <t>Count of Order ID</t>
  </si>
  <si>
    <t>Average of Sales Amount2</t>
  </si>
  <si>
    <t>Values</t>
  </si>
  <si>
    <t>Distinct Count of Customer Name</t>
  </si>
  <si>
    <t>Sum of Cost Amount</t>
  </si>
  <si>
    <t>KPI Section</t>
  </si>
  <si>
    <t>Total Sales</t>
  </si>
  <si>
    <t>Total Quantity</t>
  </si>
  <si>
    <t>Total Order</t>
  </si>
  <si>
    <t>Avg Order Value</t>
  </si>
  <si>
    <t>Total Customers</t>
  </si>
  <si>
    <t>Row Labels</t>
  </si>
  <si>
    <t>(blank)</t>
  </si>
  <si>
    <t>Grand Total</t>
  </si>
  <si>
    <t>Monthly Sales</t>
  </si>
  <si>
    <t>Sales By Region</t>
  </si>
  <si>
    <t>Sum of Profit</t>
  </si>
  <si>
    <t>Profit By Region</t>
  </si>
  <si>
    <t>Top 5 Custome Sales</t>
  </si>
  <si>
    <t>Sales By Category</t>
  </si>
  <si>
    <t>Sales Vs Cost by Product</t>
  </si>
  <si>
    <t>Quantity Sold By product</t>
  </si>
  <si>
    <t>Order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</si>
</sst>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k"/>
  </numFmts>
  <fonts count="2" x14ac:knownFonts="1">
    <font>
      <sz val="11"/>
      <color theme="1"/>
      <name val="Calibri"/>
      <family val="2"/>
      <scheme val="minor"/>
    </font>
    <font>
      <b/>
      <sz val="11"/>
      <color rgb="FFC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7" fontId="0" fillId="0" borderId="0" xfId="0" applyNumberFormat="1"/>
    <xf numFmtId="1" fontId="0" fillId="0" borderId="0" xfId="0" applyNumberFormat="1"/>
    <xf numFmtId="0" fontId="1" fillId="0" borderId="0" xfId="0" applyFont="1"/>
  </cellXfs>
  <cellStyles count="1">
    <cellStyle name="Normal" xfId="0" builtinId="0"/>
  </cellStyles>
  <dxfs count="270">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167" formatCode="#,###,\k"/>
    </dxf>
    <dxf>
      <numFmt numFmtId="167" formatCode="#,###,\k"/>
    </dxf>
    <dxf>
      <numFmt numFmtId="167" formatCode="#,###,\k"/>
    </dxf>
    <dxf>
      <numFmt numFmtId="167" formatCode="#,###,\k"/>
    </dxf>
    <dxf>
      <numFmt numFmtId="167" formatCode="#,###,\k"/>
    </dxf>
    <dxf>
      <numFmt numFmtId="167" formatCode="#,###,\k"/>
    </dxf>
    <dxf>
      <numFmt numFmtId="1" formatCode="0"/>
    </dxf>
    <dxf>
      <numFmt numFmtId="167" formatCode="#,###,\k"/>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Dashboard.xlsx]Pivot!PivotTable2</c:name>
    <c:fmtId val="3"/>
  </c:pivotSource>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Monthly Sales</a:t>
            </a:r>
          </a:p>
        </c:rich>
      </c:tx>
      <c:layout>
        <c:manualLayout>
          <c:xMode val="edge"/>
          <c:yMode val="edge"/>
          <c:x val="0.34459102902374672"/>
          <c:y val="1.8348623853211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25400">
            <a:noFill/>
          </a:ln>
          <a:effectLst/>
        </c:spPr>
        <c:marker>
          <c:symbol val="circle"/>
          <c:size val="5"/>
          <c:spPr>
            <a:solidFill>
              <a:srgbClr val="92D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5508833163664"/>
          <c:y val="0.15957186544342508"/>
          <c:w val="0.84654658273256744"/>
          <c:h val="0.6985427050976426"/>
        </c:manualLayout>
      </c:layout>
      <c:areaChart>
        <c:grouping val="standard"/>
        <c:varyColors val="0"/>
        <c:ser>
          <c:idx val="0"/>
          <c:order val="0"/>
          <c:tx>
            <c:strRef>
              <c:f>Pivot!$E$4</c:f>
              <c:strCache>
                <c:ptCount val="1"/>
                <c:pt idx="0">
                  <c:v>Total</c:v>
                </c:pt>
              </c:strCache>
            </c:strRef>
          </c:tx>
          <c:spPr>
            <a:solidFill>
              <a:srgbClr val="92D05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Pivot!$E$5:$E$17</c:f>
              <c:numCache>
                <c:formatCode>#,###,\k</c:formatCode>
                <c:ptCount val="12"/>
                <c:pt idx="0">
                  <c:v>25254.720000000001</c:v>
                </c:pt>
                <c:pt idx="1">
                  <c:v>7991.1799999999994</c:v>
                </c:pt>
                <c:pt idx="2">
                  <c:v>7918.52</c:v>
                </c:pt>
                <c:pt idx="3">
                  <c:v>5538.27</c:v>
                </c:pt>
                <c:pt idx="4">
                  <c:v>12290.54</c:v>
                </c:pt>
                <c:pt idx="5">
                  <c:v>9507.4599999999991</c:v>
                </c:pt>
                <c:pt idx="6">
                  <c:v>11608.16</c:v>
                </c:pt>
                <c:pt idx="7">
                  <c:v>9951.0400000000009</c:v>
                </c:pt>
                <c:pt idx="8">
                  <c:v>12450.48</c:v>
                </c:pt>
                <c:pt idx="9">
                  <c:v>8163.14</c:v>
                </c:pt>
                <c:pt idx="10">
                  <c:v>15244.800000000001</c:v>
                </c:pt>
                <c:pt idx="11">
                  <c:v>20203.8</c:v>
                </c:pt>
              </c:numCache>
            </c:numRef>
          </c:val>
          <c:extLst>
            <c:ext xmlns:c16="http://schemas.microsoft.com/office/drawing/2014/chart" uri="{C3380CC4-5D6E-409C-BE32-E72D297353CC}">
              <c16:uniqueId val="{00000002-6EF4-41E8-A526-9F60A15EAB30}"/>
            </c:ext>
          </c:extLst>
        </c:ser>
        <c:dLbls>
          <c:showLegendKey val="0"/>
          <c:showVal val="1"/>
          <c:showCatName val="0"/>
          <c:showSerName val="0"/>
          <c:showPercent val="0"/>
          <c:showBubbleSize val="0"/>
        </c:dLbls>
        <c:axId val="1718718240"/>
        <c:axId val="1718719488"/>
      </c:areaChart>
      <c:catAx>
        <c:axId val="171871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719488"/>
        <c:crosses val="autoZero"/>
        <c:auto val="1"/>
        <c:lblAlgn val="ctr"/>
        <c:lblOffset val="100"/>
        <c:noMultiLvlLbl val="0"/>
      </c:catAx>
      <c:valAx>
        <c:axId val="1718719488"/>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7187182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Sales</a:t>
            </a:r>
            <a:r>
              <a:rPr lang="en-US" b="1" baseline="0">
                <a:solidFill>
                  <a:schemeClr val="accent6">
                    <a:lumMod val="75000"/>
                  </a:schemeClr>
                </a:solidFill>
              </a:rPr>
              <a:t> By Region</a:t>
            </a:r>
            <a:endParaRPr lang="en-US" b="1">
              <a:solidFill>
                <a:schemeClr val="accent6">
                  <a:lumMod val="75000"/>
                </a:schemeClr>
              </a:solidFill>
            </a:endParaRPr>
          </a:p>
        </c:rich>
      </c:tx>
      <c:layout>
        <c:manualLayout>
          <c:xMode val="edge"/>
          <c:yMode val="edge"/>
          <c:x val="0.280729819441799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8.4174537167064314E-2"/>
          <c:y val="0.16977676027104985"/>
          <c:w val="0.63804791921071347"/>
          <c:h val="0.80564567865516223"/>
        </c:manualLayout>
      </c:layout>
      <c:doughnutChart>
        <c:varyColors val="1"/>
        <c:ser>
          <c:idx val="0"/>
          <c:order val="0"/>
          <c:tx>
            <c:strRef>
              <c:f>Pivot!$H$4</c:f>
              <c:strCache>
                <c:ptCount val="1"/>
                <c:pt idx="0">
                  <c:v>Total</c:v>
                </c:pt>
              </c:strCache>
            </c:strRef>
          </c:tx>
          <c:dPt>
            <c:idx val="0"/>
            <c:bubble3D val="0"/>
            <c:spPr>
              <a:solidFill>
                <a:schemeClr val="accent6">
                  <a:lumMod val="50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6">
                  <a:lumMod val="60000"/>
                  <a:lumOff val="40000"/>
                </a:schemeClr>
              </a:solidFill>
              <a:ln w="19050">
                <a:solidFill>
                  <a:schemeClr val="lt1"/>
                </a:solidFill>
              </a:ln>
              <a:effectLst/>
            </c:spPr>
          </c:dPt>
          <c:dLbls>
            <c:delete val="1"/>
          </c:dLbls>
          <c:cat>
            <c:strRef>
              <c:f>Pivot!$G$5:$G$9</c:f>
              <c:strCache>
                <c:ptCount val="4"/>
                <c:pt idx="0">
                  <c:v>East</c:v>
                </c:pt>
                <c:pt idx="1">
                  <c:v>North</c:v>
                </c:pt>
                <c:pt idx="2">
                  <c:v>South</c:v>
                </c:pt>
                <c:pt idx="3">
                  <c:v>West</c:v>
                </c:pt>
              </c:strCache>
            </c:strRef>
          </c:cat>
          <c:val>
            <c:numRef>
              <c:f>Pivot!$H$5:$H$9</c:f>
              <c:numCache>
                <c:formatCode>#,###,\k</c:formatCode>
                <c:ptCount val="4"/>
                <c:pt idx="0">
                  <c:v>48292.539999999994</c:v>
                </c:pt>
                <c:pt idx="1">
                  <c:v>44522.110000000008</c:v>
                </c:pt>
                <c:pt idx="2">
                  <c:v>17848.189999999999</c:v>
                </c:pt>
                <c:pt idx="3">
                  <c:v>35459.269999999997</c:v>
                </c:pt>
              </c:numCache>
            </c:numRef>
          </c:val>
          <c:extLst>
            <c:ext xmlns:c16="http://schemas.microsoft.com/office/drawing/2014/chart" uri="{C3380CC4-5D6E-409C-BE32-E72D297353CC}">
              <c16:uniqueId val="{0000000A-08EE-469D-B22F-21BD9B9A73BF}"/>
            </c:ext>
          </c:extLst>
        </c:ser>
        <c:dLbls>
          <c:showLegendKey val="0"/>
          <c:showVal val="1"/>
          <c:showCatName val="0"/>
          <c:showSerName val="0"/>
          <c:showPercent val="0"/>
          <c:showBubbleSize val="0"/>
          <c:showLeaderLines val="1"/>
        </c:dLbls>
        <c:firstSliceAng val="0"/>
        <c:holeSize val="3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Dashboard.xlsx]Pivot!PivotTable4</c:name>
    <c:fmtId val="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200" b="1">
                <a:solidFill>
                  <a:schemeClr val="accent6">
                    <a:lumMod val="50000"/>
                  </a:schemeClr>
                </a:solidFill>
              </a:rPr>
              <a:t>Profit By Region</a:t>
            </a:r>
          </a:p>
        </c:rich>
      </c:tx>
      <c:layout>
        <c:manualLayout>
          <c:xMode val="edge"/>
          <c:yMode val="edge"/>
          <c:x val="0.33820503206329977"/>
          <c:y val="6.1728335055570085E-3"/>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92D050"/>
          </a:solidFill>
          <a:ln w="19050">
            <a:solidFill>
              <a:schemeClr val="lt1"/>
            </a:solidFill>
          </a:ln>
          <a:effectLst/>
        </c:spPr>
      </c:pivotFmt>
      <c:pivotFmt>
        <c:idx val="10"/>
        <c:spPr>
          <a:solidFill>
            <a:schemeClr val="bg1">
              <a:lumMod val="65000"/>
            </a:schemeClr>
          </a:solidFill>
          <a:ln w="19050">
            <a:solidFill>
              <a:schemeClr val="lt1"/>
            </a:solidFill>
          </a:ln>
          <a:effectLst/>
        </c:spPr>
      </c:pivotFmt>
    </c:pivotFmts>
    <c:plotArea>
      <c:layout>
        <c:manualLayout>
          <c:layoutTarget val="inner"/>
          <c:xMode val="edge"/>
          <c:yMode val="edge"/>
          <c:x val="8.014536644457905E-2"/>
          <c:y val="0.12440155108238447"/>
          <c:w val="0.64529433820772408"/>
          <c:h val="0.8155795512981906"/>
        </c:manualLayout>
      </c:layout>
      <c:pieChart>
        <c:varyColors val="1"/>
        <c:ser>
          <c:idx val="0"/>
          <c:order val="0"/>
          <c:tx>
            <c:strRef>
              <c:f>Pivot!$K$4</c:f>
              <c:strCache>
                <c:ptCount val="1"/>
                <c:pt idx="0">
                  <c:v>Total</c:v>
                </c:pt>
              </c:strCache>
            </c:strRef>
          </c:tx>
          <c:dPt>
            <c:idx val="0"/>
            <c:bubble3D val="0"/>
            <c:spPr>
              <a:solidFill>
                <a:schemeClr val="accent6">
                  <a:lumMod val="75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rgbClr val="92D050"/>
              </a:solidFill>
              <a:ln w="19050">
                <a:solidFill>
                  <a:schemeClr val="lt1"/>
                </a:solidFill>
              </a:ln>
              <a:effectLst/>
            </c:spPr>
          </c:dPt>
          <c:dPt>
            <c:idx val="3"/>
            <c:bubble3D val="0"/>
            <c:spPr>
              <a:solidFill>
                <a:schemeClr val="bg1">
                  <a:lumMod val="6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Pivot!$J$5:$J$9</c:f>
              <c:strCache>
                <c:ptCount val="4"/>
                <c:pt idx="0">
                  <c:v>East</c:v>
                </c:pt>
                <c:pt idx="1">
                  <c:v>North</c:v>
                </c:pt>
                <c:pt idx="2">
                  <c:v>South</c:v>
                </c:pt>
                <c:pt idx="3">
                  <c:v>West</c:v>
                </c:pt>
              </c:strCache>
            </c:strRef>
          </c:cat>
          <c:val>
            <c:numRef>
              <c:f>Pivot!$K$5:$K$9</c:f>
              <c:numCache>
                <c:formatCode>#,###,\k</c:formatCode>
                <c:ptCount val="4"/>
                <c:pt idx="0">
                  <c:v>16154.359999999997</c:v>
                </c:pt>
                <c:pt idx="1">
                  <c:v>14497.82</c:v>
                </c:pt>
                <c:pt idx="2">
                  <c:v>7068.0699999999988</c:v>
                </c:pt>
                <c:pt idx="3">
                  <c:v>12932.730000000001</c:v>
                </c:pt>
              </c:numCache>
            </c:numRef>
          </c:val>
          <c:extLst>
            <c:ext xmlns:c16="http://schemas.microsoft.com/office/drawing/2014/chart" uri="{C3380CC4-5D6E-409C-BE32-E72D297353CC}">
              <c16:uniqueId val="{0000000A-9751-42C3-8E06-061D3770C9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484227933046839"/>
          <c:y val="0.30089744250272915"/>
          <c:w val="0.26984126984126983"/>
          <c:h val="0.5674904564105604"/>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5 Customer Sales</a:t>
            </a:r>
          </a:p>
        </c:rich>
      </c:tx>
      <c:layout>
        <c:manualLayout>
          <c:xMode val="edge"/>
          <c:yMode val="edge"/>
          <c:x val="0.17184468353669533"/>
          <c:y val="6.14439026844695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Pivot!$M$5:$M$10</c:f>
              <c:strCache>
                <c:ptCount val="5"/>
                <c:pt idx="0">
                  <c:v>Aurora</c:v>
                </c:pt>
                <c:pt idx="1">
                  <c:v>Jonathan</c:v>
                </c:pt>
                <c:pt idx="2">
                  <c:v>Maria</c:v>
                </c:pt>
                <c:pt idx="3">
                  <c:v>Nevaeh</c:v>
                </c:pt>
                <c:pt idx="4">
                  <c:v>Vivian</c:v>
                </c:pt>
              </c:strCache>
            </c:strRef>
          </c:cat>
          <c:val>
            <c:numRef>
              <c:f>Pivot!$N$5:$N$10</c:f>
              <c:numCache>
                <c:formatCode>#,###,\k</c:formatCode>
                <c:ptCount val="5"/>
                <c:pt idx="0">
                  <c:v>6960.42</c:v>
                </c:pt>
                <c:pt idx="1">
                  <c:v>12420.41</c:v>
                </c:pt>
                <c:pt idx="2">
                  <c:v>8812.8000000000011</c:v>
                </c:pt>
                <c:pt idx="3">
                  <c:v>7776.72</c:v>
                </c:pt>
                <c:pt idx="4">
                  <c:v>12146.220000000001</c:v>
                </c:pt>
              </c:numCache>
            </c:numRef>
          </c:val>
          <c:extLst>
            <c:ext xmlns:c16="http://schemas.microsoft.com/office/drawing/2014/chart" uri="{C3380CC4-5D6E-409C-BE32-E72D297353CC}">
              <c16:uniqueId val="{00000002-BF42-4B5D-8001-6C8999AE370B}"/>
            </c:ext>
          </c:extLst>
        </c:ser>
        <c:dLbls>
          <c:dLblPos val="outEnd"/>
          <c:showLegendKey val="0"/>
          <c:showVal val="1"/>
          <c:showCatName val="0"/>
          <c:showSerName val="0"/>
          <c:showPercent val="0"/>
          <c:showBubbleSize val="0"/>
        </c:dLbls>
        <c:gapWidth val="40"/>
        <c:axId val="250319407"/>
        <c:axId val="250326895"/>
      </c:barChart>
      <c:catAx>
        <c:axId val="25031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50326895"/>
        <c:crosses val="autoZero"/>
        <c:auto val="1"/>
        <c:lblAlgn val="ctr"/>
        <c:lblOffset val="100"/>
        <c:noMultiLvlLbl val="0"/>
      </c:catAx>
      <c:valAx>
        <c:axId val="250326895"/>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5031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Sales</a:t>
            </a:r>
            <a:r>
              <a:rPr lang="en-US" sz="1000" b="1" baseline="0"/>
              <a:t> vs Cost By Product</a:t>
            </a:r>
            <a:endParaRPr lang="en-US" sz="1000" b="1"/>
          </a:p>
        </c:rich>
      </c:tx>
      <c:layout>
        <c:manualLayout>
          <c:xMode val="edge"/>
          <c:yMode val="edge"/>
          <c:x val="0.249527710770257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287697419325475E-2"/>
          <c:y val="6.5476190476190479E-2"/>
          <c:w val="0.95071230258067452"/>
          <c:h val="0.67467800899887509"/>
        </c:manualLayout>
      </c:layout>
      <c:barChart>
        <c:barDir val="col"/>
        <c:grouping val="clustered"/>
        <c:varyColors val="0"/>
        <c:ser>
          <c:idx val="0"/>
          <c:order val="0"/>
          <c:tx>
            <c:strRef>
              <c:f>Pivot!$K$12</c:f>
              <c:strCache>
                <c:ptCount val="1"/>
                <c:pt idx="0">
                  <c:v>Sum of Sales Amount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Pivot!$J$13:$J$14</c:f>
              <c:strCache>
                <c:ptCount val="1"/>
                <c:pt idx="0">
                  <c:v>Charger</c:v>
                </c:pt>
              </c:strCache>
            </c:strRef>
          </c:cat>
          <c:val>
            <c:numRef>
              <c:f>Pivot!$K$13:$K$14</c:f>
              <c:numCache>
                <c:formatCode>#,###,\k</c:formatCode>
                <c:ptCount val="1"/>
                <c:pt idx="0">
                  <c:v>146122.10999999996</c:v>
                </c:pt>
              </c:numCache>
            </c:numRef>
          </c:val>
          <c:extLst>
            <c:ext xmlns:c16="http://schemas.microsoft.com/office/drawing/2014/chart" uri="{C3380CC4-5D6E-409C-BE32-E72D297353CC}">
              <c16:uniqueId val="{00000000-754A-46D7-A344-0DC1BF4C8DE0}"/>
            </c:ext>
          </c:extLst>
        </c:ser>
        <c:ser>
          <c:idx val="1"/>
          <c:order val="1"/>
          <c:tx>
            <c:strRef>
              <c:f>Pivot!$L$12</c:f>
              <c:strCache>
                <c:ptCount val="1"/>
                <c:pt idx="0">
                  <c:v>Sum of Cost Amount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Pivot!$J$13:$J$14</c:f>
              <c:strCache>
                <c:ptCount val="1"/>
                <c:pt idx="0">
                  <c:v>Charger</c:v>
                </c:pt>
              </c:strCache>
            </c:strRef>
          </c:cat>
          <c:val>
            <c:numRef>
              <c:f>Pivot!$L$13:$L$14</c:f>
              <c:numCache>
                <c:formatCode>#,###,\k</c:formatCode>
                <c:ptCount val="1"/>
                <c:pt idx="0">
                  <c:v>95970.76</c:v>
                </c:pt>
              </c:numCache>
            </c:numRef>
          </c:val>
          <c:extLst>
            <c:ext xmlns:c16="http://schemas.microsoft.com/office/drawing/2014/chart" uri="{C3380CC4-5D6E-409C-BE32-E72D297353CC}">
              <c16:uniqueId val="{00000001-754A-46D7-A344-0DC1BF4C8DE0}"/>
            </c:ext>
          </c:extLst>
        </c:ser>
        <c:dLbls>
          <c:dLblPos val="outEnd"/>
          <c:showLegendKey val="0"/>
          <c:showVal val="1"/>
          <c:showCatName val="0"/>
          <c:showSerName val="0"/>
          <c:showPercent val="0"/>
          <c:showBubbleSize val="0"/>
        </c:dLbls>
        <c:gapWidth val="40"/>
        <c:overlap val="-27"/>
        <c:axId val="250333967"/>
        <c:axId val="250320655"/>
      </c:barChart>
      <c:catAx>
        <c:axId val="2503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50320655"/>
        <c:crosses val="autoZero"/>
        <c:auto val="1"/>
        <c:lblAlgn val="ctr"/>
        <c:lblOffset val="100"/>
        <c:noMultiLvlLbl val="0"/>
      </c:catAx>
      <c:valAx>
        <c:axId val="250320655"/>
        <c:scaling>
          <c:orientation val="minMax"/>
        </c:scaling>
        <c:delete val="1"/>
        <c:axPos val="l"/>
        <c:numFmt formatCode="#,###,\k" sourceLinked="1"/>
        <c:majorTickMark val="none"/>
        <c:minorTickMark val="none"/>
        <c:tickLblPos val="nextTo"/>
        <c:crossAx val="250333967"/>
        <c:crosses val="autoZero"/>
        <c:crossBetween val="between"/>
      </c:valAx>
      <c:spPr>
        <a:noFill/>
        <a:ln>
          <a:noFill/>
        </a:ln>
        <a:effectLst/>
      </c:spPr>
    </c:plotArea>
    <c:legend>
      <c:legendPos val="r"/>
      <c:layout>
        <c:manualLayout>
          <c:xMode val="edge"/>
          <c:yMode val="edge"/>
          <c:x val="0.64157298256793049"/>
          <c:y val="2.5296212973378349E-2"/>
          <c:w val="0.34686632379045107"/>
          <c:h val="0.15774090738657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Sales</a:t>
            </a:r>
            <a:r>
              <a:rPr lang="en-US" b="1" baseline="0">
                <a:solidFill>
                  <a:schemeClr val="accent6">
                    <a:lumMod val="75000"/>
                  </a:schemeClr>
                </a:solidFill>
              </a:rPr>
              <a:t> By Product</a:t>
            </a:r>
            <a:endParaRPr lang="en-US" b="1">
              <a:solidFill>
                <a:schemeClr val="accent6">
                  <a:lumMod val="75000"/>
                </a:schemeClr>
              </a:solidFill>
            </a:endParaRPr>
          </a:p>
        </c:rich>
      </c:tx>
      <c:layout>
        <c:manualLayout>
          <c:xMode val="edge"/>
          <c:yMode val="edge"/>
          <c:x val="0.26994332488100009"/>
          <c:y val="5.979073243647234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3729703278616"/>
          <c:y val="0.12011958146487296"/>
          <c:w val="0.66368717469638328"/>
          <c:h val="0.74117627673222475"/>
        </c:manualLayout>
      </c:layout>
      <c:barChart>
        <c:barDir val="bar"/>
        <c:grouping val="clustered"/>
        <c:varyColors val="0"/>
        <c:ser>
          <c:idx val="0"/>
          <c:order val="0"/>
          <c:tx>
            <c:strRef>
              <c:f>Pivot!$H$12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Pivot!$G$13:$G$14</c:f>
              <c:strCache>
                <c:ptCount val="1"/>
                <c:pt idx="0">
                  <c:v>Charger</c:v>
                </c:pt>
              </c:strCache>
            </c:strRef>
          </c:cat>
          <c:val>
            <c:numRef>
              <c:f>Pivot!$H$13:$H$14</c:f>
              <c:numCache>
                <c:formatCode>#,###,\k</c:formatCode>
                <c:ptCount val="1"/>
                <c:pt idx="0">
                  <c:v>146122.10999999996</c:v>
                </c:pt>
              </c:numCache>
            </c:numRef>
          </c:val>
          <c:extLst>
            <c:ext xmlns:c16="http://schemas.microsoft.com/office/drawing/2014/chart" uri="{C3380CC4-5D6E-409C-BE32-E72D297353CC}">
              <c16:uniqueId val="{00000002-92C5-454F-898B-F5BCB3532B6B}"/>
            </c:ext>
          </c:extLst>
        </c:ser>
        <c:dLbls>
          <c:dLblPos val="outEnd"/>
          <c:showLegendKey val="0"/>
          <c:showVal val="1"/>
          <c:showCatName val="0"/>
          <c:showSerName val="0"/>
          <c:showPercent val="0"/>
          <c:showBubbleSize val="0"/>
        </c:dLbls>
        <c:gapWidth val="40"/>
        <c:axId val="1718700352"/>
        <c:axId val="1718684544"/>
      </c:barChart>
      <c:catAx>
        <c:axId val="171870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718684544"/>
        <c:crosses val="autoZero"/>
        <c:auto val="1"/>
        <c:lblAlgn val="ctr"/>
        <c:lblOffset val="100"/>
        <c:noMultiLvlLbl val="0"/>
      </c:catAx>
      <c:valAx>
        <c:axId val="171868454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71870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Quantity</a:t>
            </a:r>
            <a:r>
              <a:rPr lang="en-US" b="1" baseline="0">
                <a:solidFill>
                  <a:schemeClr val="accent6">
                    <a:lumMod val="75000"/>
                  </a:schemeClr>
                </a:solidFill>
              </a:rPr>
              <a:t> By Product</a:t>
            </a:r>
            <a:endParaRPr lang="en-US" b="1">
              <a:solidFill>
                <a:schemeClr val="accent6">
                  <a:lumMod val="75000"/>
                </a:schemeClr>
              </a:solidFill>
            </a:endParaRPr>
          </a:p>
        </c:rich>
      </c:tx>
      <c:layout>
        <c:manualLayout>
          <c:xMode val="edge"/>
          <c:yMode val="edge"/>
          <c:x val="0.221141153965923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rgbClr val="92D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c:f>
              <c:strCache>
                <c:ptCount val="1"/>
                <c:pt idx="0">
                  <c:v>Total</c:v>
                </c:pt>
              </c:strCache>
            </c:strRef>
          </c:tx>
          <c:spPr>
            <a:ln w="28575" cap="rnd">
              <a:solidFill>
                <a:schemeClr val="accent6"/>
              </a:solidFill>
              <a:round/>
            </a:ln>
            <a:effectLst/>
          </c:spPr>
          <c:marker>
            <c:symbol val="circle"/>
            <c:size val="5"/>
            <c:spPr>
              <a:solidFill>
                <a:srgbClr val="92D05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Pivot!$A$18:$A$19</c:f>
              <c:strCache>
                <c:ptCount val="1"/>
                <c:pt idx="0">
                  <c:v>Charger</c:v>
                </c:pt>
              </c:strCache>
            </c:strRef>
          </c:cat>
          <c:val>
            <c:numRef>
              <c:f>Pivot!$B$18:$B$19</c:f>
              <c:numCache>
                <c:formatCode>General</c:formatCode>
                <c:ptCount val="1"/>
                <c:pt idx="0">
                  <c:v>510</c:v>
                </c:pt>
              </c:numCache>
            </c:numRef>
          </c:val>
          <c:smooth val="0"/>
          <c:extLst>
            <c:ext xmlns:c16="http://schemas.microsoft.com/office/drawing/2014/chart" uri="{C3380CC4-5D6E-409C-BE32-E72D297353CC}">
              <c16:uniqueId val="{00000000-D703-42D1-818A-058275DBF21A}"/>
            </c:ext>
          </c:extLst>
        </c:ser>
        <c:dLbls>
          <c:dLblPos val="t"/>
          <c:showLegendKey val="0"/>
          <c:showVal val="1"/>
          <c:showCatName val="0"/>
          <c:showSerName val="0"/>
          <c:showPercent val="0"/>
          <c:showBubbleSize val="0"/>
        </c:dLbls>
        <c:marker val="1"/>
        <c:smooth val="0"/>
        <c:axId val="330925359"/>
        <c:axId val="330929935"/>
      </c:lineChart>
      <c:catAx>
        <c:axId val="33092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330929935"/>
        <c:crosses val="autoZero"/>
        <c:auto val="1"/>
        <c:lblAlgn val="ctr"/>
        <c:lblOffset val="100"/>
        <c:noMultiLvlLbl val="0"/>
      </c:catAx>
      <c:valAx>
        <c:axId val="330929935"/>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33092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Order</a:t>
            </a:r>
            <a:r>
              <a:rPr lang="en-US" b="1" baseline="0">
                <a:solidFill>
                  <a:schemeClr val="accent6">
                    <a:lumMod val="75000"/>
                  </a:schemeClr>
                </a:solidFill>
              </a:rPr>
              <a:t> Over Time</a:t>
            </a:r>
            <a:endParaRPr lang="en-US" b="1">
              <a:solidFill>
                <a:schemeClr val="accent6">
                  <a:lumMod val="75000"/>
                </a:schemeClr>
              </a:solidFill>
            </a:endParaRPr>
          </a:p>
        </c:rich>
      </c:tx>
      <c:layout>
        <c:manualLayout>
          <c:xMode val="edge"/>
          <c:yMode val="edge"/>
          <c:x val="0.23191395997375322"/>
          <c:y val="6.00600600600600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Pivot!$E$21</c:f>
              <c:strCache>
                <c:ptCount val="1"/>
                <c:pt idx="0">
                  <c:v>Total</c:v>
                </c:pt>
              </c:strCache>
            </c:strRef>
          </c:tx>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Pivot!$D$22:$D$35</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Pivot!$E$22:$E$35</c:f>
              <c:numCache>
                <c:formatCode>General</c:formatCode>
                <c:ptCount val="13"/>
                <c:pt idx="0">
                  <c:v>3</c:v>
                </c:pt>
                <c:pt idx="1">
                  <c:v>6</c:v>
                </c:pt>
                <c:pt idx="2">
                  <c:v>4</c:v>
                </c:pt>
                <c:pt idx="3">
                  <c:v>3</c:v>
                </c:pt>
                <c:pt idx="4">
                  <c:v>2</c:v>
                </c:pt>
                <c:pt idx="5">
                  <c:v>4</c:v>
                </c:pt>
                <c:pt idx="6">
                  <c:v>4</c:v>
                </c:pt>
                <c:pt idx="7">
                  <c:v>3</c:v>
                </c:pt>
                <c:pt idx="8">
                  <c:v>3</c:v>
                </c:pt>
                <c:pt idx="9">
                  <c:v>3</c:v>
                </c:pt>
                <c:pt idx="10">
                  <c:v>2</c:v>
                </c:pt>
                <c:pt idx="11">
                  <c:v>5</c:v>
                </c:pt>
                <c:pt idx="12">
                  <c:v>6</c:v>
                </c:pt>
              </c:numCache>
            </c:numRef>
          </c:val>
          <c:smooth val="0"/>
          <c:extLst>
            <c:ext xmlns:c16="http://schemas.microsoft.com/office/drawing/2014/chart" uri="{C3380CC4-5D6E-409C-BE32-E72D297353CC}">
              <c16:uniqueId val="{00000000-AEFB-4B3C-B974-6BB7FF2B3B9E}"/>
            </c:ext>
          </c:extLst>
        </c:ser>
        <c:dLbls>
          <c:dLblPos val="t"/>
          <c:showLegendKey val="0"/>
          <c:showVal val="1"/>
          <c:showCatName val="0"/>
          <c:showSerName val="0"/>
          <c:showPercent val="0"/>
          <c:showBubbleSize val="0"/>
        </c:dLbls>
        <c:marker val="1"/>
        <c:smooth val="0"/>
        <c:axId val="330867951"/>
        <c:axId val="330874607"/>
      </c:lineChart>
      <c:catAx>
        <c:axId val="3308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330874607"/>
        <c:crosses val="autoZero"/>
        <c:auto val="1"/>
        <c:lblAlgn val="ctr"/>
        <c:lblOffset val="100"/>
        <c:noMultiLvlLbl val="0"/>
      </c:catAx>
      <c:valAx>
        <c:axId val="33087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33086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18" Type="http://schemas.openxmlformats.org/officeDocument/2006/relationships/image" Target="../media/image8.jpeg"/><Relationship Id="rId3" Type="http://schemas.openxmlformats.org/officeDocument/2006/relationships/image" Target="../media/image2.jpeg"/><Relationship Id="rId21" Type="http://schemas.openxmlformats.org/officeDocument/2006/relationships/image" Target="../media/image10.png"/><Relationship Id="rId7" Type="http://schemas.openxmlformats.org/officeDocument/2006/relationships/chart" Target="../charts/chart1.xml"/><Relationship Id="rId12" Type="http://schemas.openxmlformats.org/officeDocument/2006/relationships/chart" Target="../charts/chart6.xml"/><Relationship Id="rId17" Type="http://schemas.openxmlformats.org/officeDocument/2006/relationships/hyperlink" Target="#Dashboard!A1"/><Relationship Id="rId2" Type="http://schemas.openxmlformats.org/officeDocument/2006/relationships/image" Target="../media/image1.jpeg"/><Relationship Id="rId16" Type="http://schemas.openxmlformats.org/officeDocument/2006/relationships/image" Target="../media/image7.svg"/><Relationship Id="rId20" Type="http://schemas.openxmlformats.org/officeDocument/2006/relationships/hyperlink" Target="#Pivot!A1"/><Relationship Id="rId1" Type="http://schemas.openxmlformats.org/officeDocument/2006/relationships/hyperlink" Target="#Data!A1"/><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jpeg"/><Relationship Id="rId15" Type="http://schemas.openxmlformats.org/officeDocument/2006/relationships/image" Target="../media/image6.png"/><Relationship Id="rId10" Type="http://schemas.openxmlformats.org/officeDocument/2006/relationships/chart" Target="../charts/chart4.xml"/><Relationship Id="rId19"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704850</xdr:colOff>
      <xdr:row>0</xdr:row>
      <xdr:rowOff>28575</xdr:rowOff>
    </xdr:from>
    <xdr:to>
      <xdr:col>1</xdr:col>
      <xdr:colOff>857250</xdr:colOff>
      <xdr:row>1</xdr:row>
      <xdr:rowOff>180975</xdr:rowOff>
    </xdr:to>
    <xdr:sp macro="" textlink="">
      <xdr:nvSpPr>
        <xdr:cNvPr id="14" name="Rectangle: Rounded Corners 13">
          <a:extLst>
            <a:ext uri="{FF2B5EF4-FFF2-40B4-BE49-F238E27FC236}">
              <a16:creationId xmlns:a16="http://schemas.microsoft.com/office/drawing/2014/main" id="{85B987B2-93A2-48F7-B0E0-F9DFD7190258}"/>
            </a:ext>
          </a:extLst>
        </xdr:cNvPr>
        <xdr:cNvSpPr/>
      </xdr:nvSpPr>
      <xdr:spPr>
        <a:xfrm>
          <a:off x="704850" y="28575"/>
          <a:ext cx="1028700" cy="342900"/>
        </a:xfrm>
        <a:prstGeom prst="round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828675</xdr:colOff>
      <xdr:row>0</xdr:row>
      <xdr:rowOff>57149</xdr:rowOff>
    </xdr:from>
    <xdr:to>
      <xdr:col>1</xdr:col>
      <xdr:colOff>781050</xdr:colOff>
      <xdr:row>1</xdr:row>
      <xdr:rowOff>123824</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5B08072F-9F1F-4FAD-9AC6-59201316E1D1}"/>
            </a:ext>
          </a:extLst>
        </xdr:cNvPr>
        <xdr:cNvSpPr txBox="1"/>
      </xdr:nvSpPr>
      <xdr:spPr>
        <a:xfrm>
          <a:off x="828675" y="57149"/>
          <a:ext cx="828675" cy="25717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0</xdr:row>
      <xdr:rowOff>9525</xdr:rowOff>
    </xdr:from>
    <xdr:to>
      <xdr:col>2</xdr:col>
      <xdr:colOff>66674</xdr:colOff>
      <xdr:row>1</xdr:row>
      <xdr:rowOff>114300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3837198D-0FB4-4D45-828B-54656BCE43BF}"/>
            </a:ext>
          </a:extLst>
        </xdr:cNvPr>
        <xdr:cNvSpPr txBox="1"/>
      </xdr:nvSpPr>
      <xdr:spPr>
        <a:xfrm>
          <a:off x="828675" y="9525"/>
          <a:ext cx="819149" cy="2952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33</xdr:row>
      <xdr:rowOff>114300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F1276B6-B685-4C23-BB66-8259465ACAA3}"/>
            </a:ext>
          </a:extLst>
        </xdr:cNvPr>
        <xdr:cNvSpPr/>
      </xdr:nvSpPr>
      <xdr:spPr>
        <a:xfrm>
          <a:off x="0" y="0"/>
          <a:ext cx="12801600" cy="6400800"/>
        </a:xfrm>
        <a:prstGeom prst="roundRect">
          <a:avLst>
            <a:gd name="adj" fmla="val 1954"/>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3</xdr:row>
      <xdr:rowOff>57151</xdr:rowOff>
    </xdr:from>
    <xdr:to>
      <xdr:col>20</xdr:col>
      <xdr:colOff>600075</xdr:colOff>
      <xdr:row>33</xdr:row>
      <xdr:rowOff>133351</xdr:rowOff>
    </xdr:to>
    <xdr:sp macro="" textlink="">
      <xdr:nvSpPr>
        <xdr:cNvPr id="3" name="Rectangle: Rounded Corners 2">
          <a:extLst>
            <a:ext uri="{FF2B5EF4-FFF2-40B4-BE49-F238E27FC236}">
              <a16:creationId xmlns:a16="http://schemas.microsoft.com/office/drawing/2014/main" id="{25E40A65-4633-4323-8DA4-BA9C8EF3D6E5}"/>
            </a:ext>
          </a:extLst>
        </xdr:cNvPr>
        <xdr:cNvSpPr/>
      </xdr:nvSpPr>
      <xdr:spPr>
        <a:xfrm>
          <a:off x="1266825" y="628651"/>
          <a:ext cx="11525250" cy="5791200"/>
        </a:xfrm>
        <a:prstGeom prst="roundRect">
          <a:avLst>
            <a:gd name="adj" fmla="val 3356"/>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561975</xdr:colOff>
      <xdr:row>0</xdr:row>
      <xdr:rowOff>0</xdr:rowOff>
    </xdr:from>
    <xdr:to>
      <xdr:col>12</xdr:col>
      <xdr:colOff>133350</xdr:colOff>
      <xdr:row>2</xdr:row>
      <xdr:rowOff>180975</xdr:rowOff>
    </xdr:to>
    <xdr:sp macro="" textlink="">
      <xdr:nvSpPr>
        <xdr:cNvPr id="4" name="TextBox 3">
          <a:extLst>
            <a:ext uri="{FF2B5EF4-FFF2-40B4-BE49-F238E27FC236}">
              <a16:creationId xmlns:a16="http://schemas.microsoft.com/office/drawing/2014/main" id="{9E224797-9CF3-4575-8B6B-C0E05493DE7A}"/>
            </a:ext>
          </a:extLst>
        </xdr:cNvPr>
        <xdr:cNvSpPr txBox="1"/>
      </xdr:nvSpPr>
      <xdr:spPr>
        <a:xfrm>
          <a:off x="1171575" y="0"/>
          <a:ext cx="62769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SALES</a:t>
          </a:r>
          <a:r>
            <a:rPr lang="en-US" sz="3600" b="1" baseline="0">
              <a:solidFill>
                <a:schemeClr val="bg1"/>
              </a:solidFill>
            </a:rPr>
            <a:t> ANALYTICS DASHBOARD</a:t>
          </a:r>
          <a:endParaRPr lang="en-US" sz="3600" b="1">
            <a:solidFill>
              <a:schemeClr val="bg1"/>
            </a:solidFill>
          </a:endParaRPr>
        </a:p>
      </xdr:txBody>
    </xdr:sp>
    <xdr:clientData/>
  </xdr:twoCellAnchor>
  <xdr:twoCellAnchor>
    <xdr:from>
      <xdr:col>2</xdr:col>
      <xdr:colOff>85725</xdr:colOff>
      <xdr:row>3</xdr:row>
      <xdr:rowOff>95250</xdr:rowOff>
    </xdr:from>
    <xdr:to>
      <xdr:col>8</xdr:col>
      <xdr:colOff>533400</xdr:colOff>
      <xdr:row>7</xdr:row>
      <xdr:rowOff>95250</xdr:rowOff>
    </xdr:to>
    <xdr:sp macro="" textlink="">
      <xdr:nvSpPr>
        <xdr:cNvPr id="15" name="Rectangle: Rounded Corners 14">
          <a:extLst>
            <a:ext uri="{FF2B5EF4-FFF2-40B4-BE49-F238E27FC236}">
              <a16:creationId xmlns:a16="http://schemas.microsoft.com/office/drawing/2014/main" id="{EDCA54D9-82C0-4A98-8F50-14EFA2911368}"/>
            </a:ext>
          </a:extLst>
        </xdr:cNvPr>
        <xdr:cNvSpPr/>
      </xdr:nvSpPr>
      <xdr:spPr>
        <a:xfrm>
          <a:off x="1304925" y="666750"/>
          <a:ext cx="4105275" cy="762000"/>
        </a:xfrm>
        <a:prstGeom prst="roundRect">
          <a:avLst>
            <a:gd name="adj" fmla="val 91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561975</xdr:colOff>
      <xdr:row>3</xdr:row>
      <xdr:rowOff>95250</xdr:rowOff>
    </xdr:from>
    <xdr:to>
      <xdr:col>15</xdr:col>
      <xdr:colOff>400050</xdr:colOff>
      <xdr:row>7</xdr:row>
      <xdr:rowOff>95250</xdr:rowOff>
    </xdr:to>
    <xdr:sp macro="" textlink="">
      <xdr:nvSpPr>
        <xdr:cNvPr id="16" name="Rectangle: Rounded Corners 15">
          <a:extLst>
            <a:ext uri="{FF2B5EF4-FFF2-40B4-BE49-F238E27FC236}">
              <a16:creationId xmlns:a16="http://schemas.microsoft.com/office/drawing/2014/main" id="{34200B96-C55F-42E2-A9E3-19F9200B136F}"/>
            </a:ext>
          </a:extLst>
        </xdr:cNvPr>
        <xdr:cNvSpPr/>
      </xdr:nvSpPr>
      <xdr:spPr>
        <a:xfrm>
          <a:off x="5438775" y="666750"/>
          <a:ext cx="4105275" cy="762000"/>
        </a:xfrm>
        <a:prstGeom prst="roundRect">
          <a:avLst>
            <a:gd name="adj" fmla="val 91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438150</xdr:colOff>
      <xdr:row>3</xdr:row>
      <xdr:rowOff>95250</xdr:rowOff>
    </xdr:from>
    <xdr:to>
      <xdr:col>20</xdr:col>
      <xdr:colOff>542925</xdr:colOff>
      <xdr:row>7</xdr:row>
      <xdr:rowOff>95250</xdr:rowOff>
    </xdr:to>
    <xdr:sp macro="" textlink="">
      <xdr:nvSpPr>
        <xdr:cNvPr id="17" name="Rectangle: Rounded Corners 16">
          <a:extLst>
            <a:ext uri="{FF2B5EF4-FFF2-40B4-BE49-F238E27FC236}">
              <a16:creationId xmlns:a16="http://schemas.microsoft.com/office/drawing/2014/main" id="{3B45464F-49B1-497D-BBB3-8FBBAAA74AB9}"/>
            </a:ext>
          </a:extLst>
        </xdr:cNvPr>
        <xdr:cNvSpPr/>
      </xdr:nvSpPr>
      <xdr:spPr>
        <a:xfrm>
          <a:off x="9582150" y="666750"/>
          <a:ext cx="3152775" cy="762000"/>
        </a:xfrm>
        <a:prstGeom prst="roundRect">
          <a:avLst>
            <a:gd name="adj" fmla="val 11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85726</xdr:colOff>
      <xdr:row>7</xdr:row>
      <xdr:rowOff>122924</xdr:rowOff>
    </xdr:from>
    <xdr:to>
      <xdr:col>5</xdr:col>
      <xdr:colOff>523876</xdr:colOff>
      <xdr:row>10</xdr:row>
      <xdr:rowOff>181876</xdr:rowOff>
    </xdr:to>
    <xdr:grpSp>
      <xdr:nvGrpSpPr>
        <xdr:cNvPr id="20" name="Group 19">
          <a:extLst>
            <a:ext uri="{FF2B5EF4-FFF2-40B4-BE49-F238E27FC236}">
              <a16:creationId xmlns:a16="http://schemas.microsoft.com/office/drawing/2014/main" id="{2CABFC01-399A-46BD-8A3D-8878289DB573}"/>
            </a:ext>
          </a:extLst>
        </xdr:cNvPr>
        <xdr:cNvGrpSpPr/>
      </xdr:nvGrpSpPr>
      <xdr:grpSpPr>
        <a:xfrm>
          <a:off x="1304926" y="1456424"/>
          <a:ext cx="2266950" cy="630452"/>
          <a:chOff x="1314450" y="1456330"/>
          <a:chExt cx="2581275" cy="696320"/>
        </a:xfrm>
      </xdr:grpSpPr>
      <xdr:sp macro="" textlink="">
        <xdr:nvSpPr>
          <xdr:cNvPr id="18" name="Rectangle: Rounded Corners 17">
            <a:extLst>
              <a:ext uri="{FF2B5EF4-FFF2-40B4-BE49-F238E27FC236}">
                <a16:creationId xmlns:a16="http://schemas.microsoft.com/office/drawing/2014/main" id="{27200B3A-6DE3-477F-BD7A-1AB221586002}"/>
              </a:ext>
            </a:extLst>
          </xdr:cNvPr>
          <xdr:cNvSpPr/>
        </xdr:nvSpPr>
        <xdr:spPr>
          <a:xfrm>
            <a:off x="1314450" y="1457325"/>
            <a:ext cx="2447925" cy="695325"/>
          </a:xfrm>
          <a:prstGeom prst="roundRect">
            <a:avLst>
              <a:gd name="adj" fmla="val 6505"/>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63EC10FE-74F1-4AA7-9860-C9132FF19079}"/>
              </a:ext>
            </a:extLst>
          </xdr:cNvPr>
          <xdr:cNvSpPr/>
        </xdr:nvSpPr>
        <xdr:spPr>
          <a:xfrm>
            <a:off x="1447800" y="1456330"/>
            <a:ext cx="2447925" cy="695325"/>
          </a:xfrm>
          <a:prstGeom prst="roundRect">
            <a:avLst>
              <a:gd name="adj" fmla="val 80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542926</xdr:colOff>
      <xdr:row>7</xdr:row>
      <xdr:rowOff>122924</xdr:rowOff>
    </xdr:from>
    <xdr:to>
      <xdr:col>9</xdr:col>
      <xdr:colOff>371476</xdr:colOff>
      <xdr:row>10</xdr:row>
      <xdr:rowOff>181876</xdr:rowOff>
    </xdr:to>
    <xdr:grpSp>
      <xdr:nvGrpSpPr>
        <xdr:cNvPr id="21" name="Group 20">
          <a:extLst>
            <a:ext uri="{FF2B5EF4-FFF2-40B4-BE49-F238E27FC236}">
              <a16:creationId xmlns:a16="http://schemas.microsoft.com/office/drawing/2014/main" id="{60BA8311-0FC7-4D42-B0C0-6249DF0885B8}"/>
            </a:ext>
          </a:extLst>
        </xdr:cNvPr>
        <xdr:cNvGrpSpPr/>
      </xdr:nvGrpSpPr>
      <xdr:grpSpPr>
        <a:xfrm>
          <a:off x="3590926" y="1456424"/>
          <a:ext cx="2266950" cy="630452"/>
          <a:chOff x="1314450" y="1456330"/>
          <a:chExt cx="2581275" cy="696320"/>
        </a:xfrm>
      </xdr:grpSpPr>
      <xdr:sp macro="" textlink="">
        <xdr:nvSpPr>
          <xdr:cNvPr id="22" name="Rectangle: Rounded Corners 21">
            <a:extLst>
              <a:ext uri="{FF2B5EF4-FFF2-40B4-BE49-F238E27FC236}">
                <a16:creationId xmlns:a16="http://schemas.microsoft.com/office/drawing/2014/main" id="{7043B49D-137E-473D-BA4F-D77500D98536}"/>
              </a:ext>
            </a:extLst>
          </xdr:cNvPr>
          <xdr:cNvSpPr/>
        </xdr:nvSpPr>
        <xdr:spPr>
          <a:xfrm>
            <a:off x="1314450" y="1457325"/>
            <a:ext cx="2447925" cy="695325"/>
          </a:xfrm>
          <a:prstGeom prst="roundRect">
            <a:avLst>
              <a:gd name="adj" fmla="val 6505"/>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6223D964-2B79-4A18-9FF2-65774E27A5E3}"/>
              </a:ext>
            </a:extLst>
          </xdr:cNvPr>
          <xdr:cNvSpPr/>
        </xdr:nvSpPr>
        <xdr:spPr>
          <a:xfrm>
            <a:off x="1447800" y="1456330"/>
            <a:ext cx="2447925" cy="695325"/>
          </a:xfrm>
          <a:prstGeom prst="roundRect">
            <a:avLst>
              <a:gd name="adj" fmla="val 80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390526</xdr:colOff>
      <xdr:row>7</xdr:row>
      <xdr:rowOff>122924</xdr:rowOff>
    </xdr:from>
    <xdr:to>
      <xdr:col>13</xdr:col>
      <xdr:colOff>219076</xdr:colOff>
      <xdr:row>10</xdr:row>
      <xdr:rowOff>181876</xdr:rowOff>
    </xdr:to>
    <xdr:grpSp>
      <xdr:nvGrpSpPr>
        <xdr:cNvPr id="24" name="Group 23">
          <a:extLst>
            <a:ext uri="{FF2B5EF4-FFF2-40B4-BE49-F238E27FC236}">
              <a16:creationId xmlns:a16="http://schemas.microsoft.com/office/drawing/2014/main" id="{C4CD84C7-959A-49A9-80D3-6631907CA2D0}"/>
            </a:ext>
          </a:extLst>
        </xdr:cNvPr>
        <xdr:cNvGrpSpPr/>
      </xdr:nvGrpSpPr>
      <xdr:grpSpPr>
        <a:xfrm>
          <a:off x="5876926" y="1456424"/>
          <a:ext cx="2266950" cy="630452"/>
          <a:chOff x="1314450" y="1456330"/>
          <a:chExt cx="2581275" cy="696320"/>
        </a:xfrm>
      </xdr:grpSpPr>
      <xdr:sp macro="" textlink="">
        <xdr:nvSpPr>
          <xdr:cNvPr id="25" name="Rectangle: Rounded Corners 24">
            <a:extLst>
              <a:ext uri="{FF2B5EF4-FFF2-40B4-BE49-F238E27FC236}">
                <a16:creationId xmlns:a16="http://schemas.microsoft.com/office/drawing/2014/main" id="{9CF4EDE2-2B06-49BD-B637-29D2998AC04A}"/>
              </a:ext>
            </a:extLst>
          </xdr:cNvPr>
          <xdr:cNvSpPr/>
        </xdr:nvSpPr>
        <xdr:spPr>
          <a:xfrm>
            <a:off x="1314450" y="1457325"/>
            <a:ext cx="2447925" cy="695325"/>
          </a:xfrm>
          <a:prstGeom prst="roundRect">
            <a:avLst>
              <a:gd name="adj" fmla="val 6505"/>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5AA919A3-D195-4BDD-8978-E3BB2279EB49}"/>
              </a:ext>
            </a:extLst>
          </xdr:cNvPr>
          <xdr:cNvSpPr/>
        </xdr:nvSpPr>
        <xdr:spPr>
          <a:xfrm>
            <a:off x="1447800" y="1456330"/>
            <a:ext cx="2447925" cy="695325"/>
          </a:xfrm>
          <a:prstGeom prst="roundRect">
            <a:avLst>
              <a:gd name="adj" fmla="val 80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238126</xdr:colOff>
      <xdr:row>7</xdr:row>
      <xdr:rowOff>122924</xdr:rowOff>
    </xdr:from>
    <xdr:to>
      <xdr:col>17</xdr:col>
      <xdr:colOff>66676</xdr:colOff>
      <xdr:row>10</xdr:row>
      <xdr:rowOff>181876</xdr:rowOff>
    </xdr:to>
    <xdr:grpSp>
      <xdr:nvGrpSpPr>
        <xdr:cNvPr id="27" name="Group 26">
          <a:extLst>
            <a:ext uri="{FF2B5EF4-FFF2-40B4-BE49-F238E27FC236}">
              <a16:creationId xmlns:a16="http://schemas.microsoft.com/office/drawing/2014/main" id="{C1ADF7DE-8B91-420C-B04C-D6554DB07FCB}"/>
            </a:ext>
          </a:extLst>
        </xdr:cNvPr>
        <xdr:cNvGrpSpPr/>
      </xdr:nvGrpSpPr>
      <xdr:grpSpPr>
        <a:xfrm>
          <a:off x="8162926" y="1456424"/>
          <a:ext cx="2266950" cy="630452"/>
          <a:chOff x="1314450" y="1456330"/>
          <a:chExt cx="2581275" cy="696320"/>
        </a:xfrm>
      </xdr:grpSpPr>
      <xdr:sp macro="" textlink="">
        <xdr:nvSpPr>
          <xdr:cNvPr id="28" name="Rectangle: Rounded Corners 27">
            <a:extLst>
              <a:ext uri="{FF2B5EF4-FFF2-40B4-BE49-F238E27FC236}">
                <a16:creationId xmlns:a16="http://schemas.microsoft.com/office/drawing/2014/main" id="{53AF5519-25C6-46E1-8239-928558541B05}"/>
              </a:ext>
            </a:extLst>
          </xdr:cNvPr>
          <xdr:cNvSpPr/>
        </xdr:nvSpPr>
        <xdr:spPr>
          <a:xfrm>
            <a:off x="1314450" y="1457325"/>
            <a:ext cx="2447925" cy="695325"/>
          </a:xfrm>
          <a:prstGeom prst="roundRect">
            <a:avLst>
              <a:gd name="adj" fmla="val 6505"/>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C689428C-0A99-44B0-9B30-9D179D262B78}"/>
              </a:ext>
            </a:extLst>
          </xdr:cNvPr>
          <xdr:cNvSpPr/>
        </xdr:nvSpPr>
        <xdr:spPr>
          <a:xfrm>
            <a:off x="1447800" y="1456330"/>
            <a:ext cx="2447925" cy="695325"/>
          </a:xfrm>
          <a:prstGeom prst="roundRect">
            <a:avLst>
              <a:gd name="adj" fmla="val 80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85726</xdr:colOff>
      <xdr:row>7</xdr:row>
      <xdr:rowOff>122924</xdr:rowOff>
    </xdr:from>
    <xdr:to>
      <xdr:col>20</xdr:col>
      <xdr:colOff>523876</xdr:colOff>
      <xdr:row>10</xdr:row>
      <xdr:rowOff>181876</xdr:rowOff>
    </xdr:to>
    <xdr:grpSp>
      <xdr:nvGrpSpPr>
        <xdr:cNvPr id="30" name="Group 29">
          <a:extLst>
            <a:ext uri="{FF2B5EF4-FFF2-40B4-BE49-F238E27FC236}">
              <a16:creationId xmlns:a16="http://schemas.microsoft.com/office/drawing/2014/main" id="{E884A727-50CD-4A83-A8C4-D22F2FFD34F7}"/>
            </a:ext>
          </a:extLst>
        </xdr:cNvPr>
        <xdr:cNvGrpSpPr/>
      </xdr:nvGrpSpPr>
      <xdr:grpSpPr>
        <a:xfrm>
          <a:off x="10448926" y="1456424"/>
          <a:ext cx="2266950" cy="630452"/>
          <a:chOff x="1314450" y="1456330"/>
          <a:chExt cx="2581275" cy="696320"/>
        </a:xfrm>
      </xdr:grpSpPr>
      <xdr:sp macro="" textlink="">
        <xdr:nvSpPr>
          <xdr:cNvPr id="31" name="Rectangle: Rounded Corners 30">
            <a:extLst>
              <a:ext uri="{FF2B5EF4-FFF2-40B4-BE49-F238E27FC236}">
                <a16:creationId xmlns:a16="http://schemas.microsoft.com/office/drawing/2014/main" id="{FE79C886-1616-4D78-A135-B56377419F18}"/>
              </a:ext>
            </a:extLst>
          </xdr:cNvPr>
          <xdr:cNvSpPr/>
        </xdr:nvSpPr>
        <xdr:spPr>
          <a:xfrm>
            <a:off x="1314450" y="1457325"/>
            <a:ext cx="2447925" cy="695325"/>
          </a:xfrm>
          <a:prstGeom prst="roundRect">
            <a:avLst>
              <a:gd name="adj" fmla="val 6505"/>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Rounded Corners 31">
            <a:extLst>
              <a:ext uri="{FF2B5EF4-FFF2-40B4-BE49-F238E27FC236}">
                <a16:creationId xmlns:a16="http://schemas.microsoft.com/office/drawing/2014/main" id="{8D64738F-C18F-434F-8DF1-79B5EF8C5899}"/>
              </a:ext>
            </a:extLst>
          </xdr:cNvPr>
          <xdr:cNvSpPr/>
        </xdr:nvSpPr>
        <xdr:spPr>
          <a:xfrm>
            <a:off x="1447800" y="1456330"/>
            <a:ext cx="2447925" cy="695325"/>
          </a:xfrm>
          <a:prstGeom prst="roundRect">
            <a:avLst>
              <a:gd name="adj" fmla="val 80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285750</xdr:colOff>
      <xdr:row>7</xdr:row>
      <xdr:rowOff>85725</xdr:rowOff>
    </xdr:from>
    <xdr:to>
      <xdr:col>5</xdr:col>
      <xdr:colOff>85725</xdr:colOff>
      <xdr:row>9</xdr:row>
      <xdr:rowOff>104775</xdr:rowOff>
    </xdr:to>
    <xdr:sp macro="" textlink="">
      <xdr:nvSpPr>
        <xdr:cNvPr id="33" name="TextBox 32">
          <a:extLst>
            <a:ext uri="{FF2B5EF4-FFF2-40B4-BE49-F238E27FC236}">
              <a16:creationId xmlns:a16="http://schemas.microsoft.com/office/drawing/2014/main" id="{C829A535-1816-41C1-BBC7-50B2D8211B9F}"/>
            </a:ext>
          </a:extLst>
        </xdr:cNvPr>
        <xdr:cNvSpPr txBox="1"/>
      </xdr:nvSpPr>
      <xdr:spPr>
        <a:xfrm>
          <a:off x="1504950" y="1419225"/>
          <a:ext cx="1628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Sales</a:t>
          </a:r>
        </a:p>
      </xdr:txBody>
    </xdr:sp>
    <xdr:clientData/>
  </xdr:twoCellAnchor>
  <xdr:twoCellAnchor>
    <xdr:from>
      <xdr:col>6</xdr:col>
      <xdr:colOff>76200</xdr:colOff>
      <xdr:row>7</xdr:row>
      <xdr:rowOff>85725</xdr:rowOff>
    </xdr:from>
    <xdr:to>
      <xdr:col>8</xdr:col>
      <xdr:colOff>485775</xdr:colOff>
      <xdr:row>9</xdr:row>
      <xdr:rowOff>104775</xdr:rowOff>
    </xdr:to>
    <xdr:sp macro="" textlink="">
      <xdr:nvSpPr>
        <xdr:cNvPr id="34" name="TextBox 33">
          <a:extLst>
            <a:ext uri="{FF2B5EF4-FFF2-40B4-BE49-F238E27FC236}">
              <a16:creationId xmlns:a16="http://schemas.microsoft.com/office/drawing/2014/main" id="{E2B30716-383C-4B37-898B-BC423D0DD1D5}"/>
            </a:ext>
          </a:extLst>
        </xdr:cNvPr>
        <xdr:cNvSpPr txBox="1"/>
      </xdr:nvSpPr>
      <xdr:spPr>
        <a:xfrm>
          <a:off x="3733800" y="1419225"/>
          <a:ext cx="1628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Orders</a:t>
          </a:r>
        </a:p>
      </xdr:txBody>
    </xdr:sp>
    <xdr:clientData/>
  </xdr:twoCellAnchor>
  <xdr:twoCellAnchor>
    <xdr:from>
      <xdr:col>9</xdr:col>
      <xdr:colOff>533400</xdr:colOff>
      <xdr:row>7</xdr:row>
      <xdr:rowOff>85725</xdr:rowOff>
    </xdr:from>
    <xdr:to>
      <xdr:col>12</xdr:col>
      <xdr:colOff>333375</xdr:colOff>
      <xdr:row>9</xdr:row>
      <xdr:rowOff>104775</xdr:rowOff>
    </xdr:to>
    <xdr:sp macro="" textlink="">
      <xdr:nvSpPr>
        <xdr:cNvPr id="35" name="TextBox 34">
          <a:extLst>
            <a:ext uri="{FF2B5EF4-FFF2-40B4-BE49-F238E27FC236}">
              <a16:creationId xmlns:a16="http://schemas.microsoft.com/office/drawing/2014/main" id="{A926EB23-BB06-415F-9BD3-6504FAFA8802}"/>
            </a:ext>
          </a:extLst>
        </xdr:cNvPr>
        <xdr:cNvSpPr txBox="1"/>
      </xdr:nvSpPr>
      <xdr:spPr>
        <a:xfrm>
          <a:off x="6019800" y="1419225"/>
          <a:ext cx="1628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Quantity</a:t>
          </a:r>
        </a:p>
      </xdr:txBody>
    </xdr:sp>
    <xdr:clientData/>
  </xdr:twoCellAnchor>
  <xdr:twoCellAnchor>
    <xdr:from>
      <xdr:col>13</xdr:col>
      <xdr:colOff>323850</xdr:colOff>
      <xdr:row>7</xdr:row>
      <xdr:rowOff>85725</xdr:rowOff>
    </xdr:from>
    <xdr:to>
      <xdr:col>16</xdr:col>
      <xdr:colOff>123825</xdr:colOff>
      <xdr:row>9</xdr:row>
      <xdr:rowOff>104775</xdr:rowOff>
    </xdr:to>
    <xdr:sp macro="" textlink="">
      <xdr:nvSpPr>
        <xdr:cNvPr id="36" name="TextBox 35">
          <a:extLst>
            <a:ext uri="{FF2B5EF4-FFF2-40B4-BE49-F238E27FC236}">
              <a16:creationId xmlns:a16="http://schemas.microsoft.com/office/drawing/2014/main" id="{E212C4AB-8869-4156-9BE7-284DA91953ED}"/>
            </a:ext>
          </a:extLst>
        </xdr:cNvPr>
        <xdr:cNvSpPr txBox="1"/>
      </xdr:nvSpPr>
      <xdr:spPr>
        <a:xfrm>
          <a:off x="8248650" y="1419225"/>
          <a:ext cx="1628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a:t>
          </a:r>
          <a:r>
            <a:rPr lang="en-US" sz="1800" b="1" baseline="0"/>
            <a:t> customer</a:t>
          </a:r>
          <a:endParaRPr lang="en-US" sz="1800" b="1"/>
        </a:p>
      </xdr:txBody>
    </xdr:sp>
    <xdr:clientData/>
  </xdr:twoCellAnchor>
  <xdr:twoCellAnchor>
    <xdr:from>
      <xdr:col>17</xdr:col>
      <xdr:colOff>142875</xdr:colOff>
      <xdr:row>7</xdr:row>
      <xdr:rowOff>85725</xdr:rowOff>
    </xdr:from>
    <xdr:to>
      <xdr:col>20</xdr:col>
      <xdr:colOff>123825</xdr:colOff>
      <xdr:row>9</xdr:row>
      <xdr:rowOff>104775</xdr:rowOff>
    </xdr:to>
    <xdr:sp macro="" textlink="">
      <xdr:nvSpPr>
        <xdr:cNvPr id="37" name="TextBox 36">
          <a:extLst>
            <a:ext uri="{FF2B5EF4-FFF2-40B4-BE49-F238E27FC236}">
              <a16:creationId xmlns:a16="http://schemas.microsoft.com/office/drawing/2014/main" id="{B5E4E918-E3F6-4746-B7B6-6A6A22CD647D}"/>
            </a:ext>
          </a:extLst>
        </xdr:cNvPr>
        <xdr:cNvSpPr txBox="1"/>
      </xdr:nvSpPr>
      <xdr:spPr>
        <a:xfrm>
          <a:off x="10506075" y="1419225"/>
          <a:ext cx="18097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Avg</a:t>
          </a:r>
          <a:r>
            <a:rPr lang="en-US" sz="1800" b="1" baseline="0"/>
            <a:t> Order Value</a:t>
          </a:r>
          <a:endParaRPr lang="en-US" sz="1800" b="1"/>
        </a:p>
      </xdr:txBody>
    </xdr:sp>
    <xdr:clientData/>
  </xdr:twoCellAnchor>
  <xdr:twoCellAnchor>
    <xdr:from>
      <xdr:col>2</xdr:col>
      <xdr:colOff>409575</xdr:colOff>
      <xdr:row>8</xdr:row>
      <xdr:rowOff>171449</xdr:rowOff>
    </xdr:from>
    <xdr:to>
      <xdr:col>4</xdr:col>
      <xdr:colOff>209550</xdr:colOff>
      <xdr:row>10</xdr:row>
      <xdr:rowOff>85725</xdr:rowOff>
    </xdr:to>
    <xdr:sp macro="" textlink="Pivot!B11">
      <xdr:nvSpPr>
        <xdr:cNvPr id="38" name="TextBox 37">
          <a:extLst>
            <a:ext uri="{FF2B5EF4-FFF2-40B4-BE49-F238E27FC236}">
              <a16:creationId xmlns:a16="http://schemas.microsoft.com/office/drawing/2014/main" id="{93BB032E-792C-408A-AE9D-F7460FB293F6}"/>
            </a:ext>
          </a:extLst>
        </xdr:cNvPr>
        <xdr:cNvSpPr txBox="1"/>
      </xdr:nvSpPr>
      <xdr:spPr>
        <a:xfrm>
          <a:off x="1628775" y="1695449"/>
          <a:ext cx="101917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36DB1B-50E2-42BC-8DBC-D527F51AFD18}" type="TxLink">
            <a:rPr lang="en-US" sz="1600" b="1" i="0" u="none" strike="noStrike">
              <a:solidFill>
                <a:srgbClr val="FFC000"/>
              </a:solidFill>
              <a:latin typeface="Calibri"/>
              <a:ea typeface="Calibri"/>
              <a:cs typeface="Calibri"/>
            </a:rPr>
            <a:t>146k</a:t>
          </a:fld>
          <a:endParaRPr lang="en-US" sz="1600" b="1">
            <a:solidFill>
              <a:srgbClr val="FFC000"/>
            </a:solidFill>
          </a:endParaRPr>
        </a:p>
      </xdr:txBody>
    </xdr:sp>
    <xdr:clientData/>
  </xdr:twoCellAnchor>
  <xdr:twoCellAnchor>
    <xdr:from>
      <xdr:col>6</xdr:col>
      <xdr:colOff>438150</xdr:colOff>
      <xdr:row>8</xdr:row>
      <xdr:rowOff>190499</xdr:rowOff>
    </xdr:from>
    <xdr:to>
      <xdr:col>8</xdr:col>
      <xdr:colOff>238125</xdr:colOff>
      <xdr:row>10</xdr:row>
      <xdr:rowOff>95250</xdr:rowOff>
    </xdr:to>
    <xdr:sp macro="" textlink="Pivot!B12">
      <xdr:nvSpPr>
        <xdr:cNvPr id="39" name="TextBox 38">
          <a:extLst>
            <a:ext uri="{FF2B5EF4-FFF2-40B4-BE49-F238E27FC236}">
              <a16:creationId xmlns:a16="http://schemas.microsoft.com/office/drawing/2014/main" id="{70CD5CBB-2C74-42DA-9252-DAE62720F836}"/>
            </a:ext>
          </a:extLst>
        </xdr:cNvPr>
        <xdr:cNvSpPr txBox="1"/>
      </xdr:nvSpPr>
      <xdr:spPr>
        <a:xfrm>
          <a:off x="4095750" y="1714499"/>
          <a:ext cx="1019175"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99F938-C01A-4A21-9EBA-4B14AEADDBEE}" type="TxLink">
            <a:rPr lang="en-US" sz="1600" b="1" i="0" u="none" strike="noStrike">
              <a:solidFill>
                <a:schemeClr val="accent1">
                  <a:lumMod val="75000"/>
                </a:schemeClr>
              </a:solidFill>
              <a:latin typeface="Calibri"/>
              <a:ea typeface="Calibri"/>
              <a:cs typeface="Calibri"/>
            </a:rPr>
            <a:t>510</a:t>
          </a:fld>
          <a:endParaRPr lang="en-US" sz="1600" b="1">
            <a:solidFill>
              <a:schemeClr val="accent1">
                <a:lumMod val="75000"/>
              </a:schemeClr>
            </a:solidFill>
          </a:endParaRPr>
        </a:p>
      </xdr:txBody>
    </xdr:sp>
    <xdr:clientData/>
  </xdr:twoCellAnchor>
  <xdr:twoCellAnchor>
    <xdr:from>
      <xdr:col>10</xdr:col>
      <xdr:colOff>390525</xdr:colOff>
      <xdr:row>8</xdr:row>
      <xdr:rowOff>171449</xdr:rowOff>
    </xdr:from>
    <xdr:to>
      <xdr:col>12</xdr:col>
      <xdr:colOff>190500</xdr:colOff>
      <xdr:row>10</xdr:row>
      <xdr:rowOff>28574</xdr:rowOff>
    </xdr:to>
    <xdr:sp macro="" textlink="Pivot!B13">
      <xdr:nvSpPr>
        <xdr:cNvPr id="40" name="TextBox 39">
          <a:extLst>
            <a:ext uri="{FF2B5EF4-FFF2-40B4-BE49-F238E27FC236}">
              <a16:creationId xmlns:a16="http://schemas.microsoft.com/office/drawing/2014/main" id="{A862F7B1-51DA-49E4-A1D5-747C17F1FBE3}"/>
            </a:ext>
          </a:extLst>
        </xdr:cNvPr>
        <xdr:cNvSpPr txBox="1"/>
      </xdr:nvSpPr>
      <xdr:spPr>
        <a:xfrm>
          <a:off x="6486525" y="1695449"/>
          <a:ext cx="10191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F66DF9-CEB4-43DC-8BBE-59409DB500BB}" type="TxLink">
            <a:rPr lang="en-US" sz="1600" b="1" i="0" u="none" strike="noStrike">
              <a:solidFill>
                <a:srgbClr val="FF0000"/>
              </a:solidFill>
              <a:latin typeface="Calibri"/>
              <a:ea typeface="Calibri"/>
              <a:cs typeface="Calibri"/>
            </a:rPr>
            <a:t>48</a:t>
          </a:fld>
          <a:endParaRPr lang="en-US" sz="1600" b="1">
            <a:solidFill>
              <a:srgbClr val="FF0000"/>
            </a:solidFill>
          </a:endParaRPr>
        </a:p>
      </xdr:txBody>
    </xdr:sp>
    <xdr:clientData/>
  </xdr:twoCellAnchor>
  <xdr:twoCellAnchor>
    <xdr:from>
      <xdr:col>14</xdr:col>
      <xdr:colOff>180975</xdr:colOff>
      <xdr:row>8</xdr:row>
      <xdr:rowOff>161924</xdr:rowOff>
    </xdr:from>
    <xdr:to>
      <xdr:col>15</xdr:col>
      <xdr:colOff>590550</xdr:colOff>
      <xdr:row>10</xdr:row>
      <xdr:rowOff>19049</xdr:rowOff>
    </xdr:to>
    <xdr:sp macro="" textlink="Pivot!B14">
      <xdr:nvSpPr>
        <xdr:cNvPr id="41" name="TextBox 40">
          <a:extLst>
            <a:ext uri="{FF2B5EF4-FFF2-40B4-BE49-F238E27FC236}">
              <a16:creationId xmlns:a16="http://schemas.microsoft.com/office/drawing/2014/main" id="{71FFFD06-56A9-4ECA-ACFF-CD59CE67D8BA}"/>
            </a:ext>
          </a:extLst>
        </xdr:cNvPr>
        <xdr:cNvSpPr txBox="1"/>
      </xdr:nvSpPr>
      <xdr:spPr>
        <a:xfrm>
          <a:off x="8715375" y="1685924"/>
          <a:ext cx="10191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398170-A14F-4833-A6C8-C3BE111835A6}" type="TxLink">
            <a:rPr lang="en-US" sz="1600" b="1" i="0" u="none" strike="noStrike">
              <a:solidFill>
                <a:srgbClr val="00B0F0"/>
              </a:solidFill>
              <a:latin typeface="Calibri"/>
              <a:ea typeface="Calibri"/>
              <a:cs typeface="Calibri"/>
            </a:rPr>
            <a:t>3247</a:t>
          </a:fld>
          <a:endParaRPr lang="en-US" sz="1600" b="1">
            <a:solidFill>
              <a:srgbClr val="00B0F0"/>
            </a:solidFill>
          </a:endParaRPr>
        </a:p>
      </xdr:txBody>
    </xdr:sp>
    <xdr:clientData/>
  </xdr:twoCellAnchor>
  <xdr:twoCellAnchor>
    <xdr:from>
      <xdr:col>18</xdr:col>
      <xdr:colOff>0</xdr:colOff>
      <xdr:row>8</xdr:row>
      <xdr:rowOff>180974</xdr:rowOff>
    </xdr:from>
    <xdr:to>
      <xdr:col>19</xdr:col>
      <xdr:colOff>409575</xdr:colOff>
      <xdr:row>10</xdr:row>
      <xdr:rowOff>38099</xdr:rowOff>
    </xdr:to>
    <xdr:sp macro="" textlink="Pivot!B15">
      <xdr:nvSpPr>
        <xdr:cNvPr id="42" name="TextBox 41">
          <a:extLst>
            <a:ext uri="{FF2B5EF4-FFF2-40B4-BE49-F238E27FC236}">
              <a16:creationId xmlns:a16="http://schemas.microsoft.com/office/drawing/2014/main" id="{4F319A7C-6D01-48D6-81B3-EE76A38CCB72}"/>
            </a:ext>
          </a:extLst>
        </xdr:cNvPr>
        <xdr:cNvSpPr txBox="1"/>
      </xdr:nvSpPr>
      <xdr:spPr>
        <a:xfrm>
          <a:off x="10972800" y="1704974"/>
          <a:ext cx="10191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D2A51C-C37B-4EAA-BCDA-99B44D0DA0DF}" type="TxLink">
            <a:rPr lang="en-US" sz="1600" b="1" i="0" u="none" strike="noStrike">
              <a:solidFill>
                <a:schemeClr val="tx1">
                  <a:lumMod val="95000"/>
                  <a:lumOff val="5000"/>
                </a:schemeClr>
              </a:solidFill>
              <a:latin typeface="Calibri"/>
              <a:ea typeface="Calibri"/>
              <a:cs typeface="Calibri"/>
            </a:rPr>
            <a:t>43</a:t>
          </a:fld>
          <a:endParaRPr lang="en-US" sz="1600" b="1">
            <a:solidFill>
              <a:schemeClr val="tx1">
                <a:lumMod val="95000"/>
                <a:lumOff val="5000"/>
              </a:schemeClr>
            </a:solidFill>
          </a:endParaRPr>
        </a:p>
      </xdr:txBody>
    </xdr:sp>
    <xdr:clientData/>
  </xdr:twoCellAnchor>
  <xdr:twoCellAnchor editAs="oneCell">
    <xdr:from>
      <xdr:col>4</xdr:col>
      <xdr:colOff>304800</xdr:colOff>
      <xdr:row>7</xdr:row>
      <xdr:rowOff>161925</xdr:rowOff>
    </xdr:from>
    <xdr:to>
      <xdr:col>5</xdr:col>
      <xdr:colOff>342900</xdr:colOff>
      <xdr:row>10</xdr:row>
      <xdr:rowOff>142875</xdr:rowOff>
    </xdr:to>
    <xdr:pic>
      <xdr:nvPicPr>
        <xdr:cNvPr id="44" name="Picture 43">
          <a:extLst>
            <a:ext uri="{FF2B5EF4-FFF2-40B4-BE49-F238E27FC236}">
              <a16:creationId xmlns:a16="http://schemas.microsoft.com/office/drawing/2014/main" id="{E94CEA38-3323-4B79-8E61-5A76A06A08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flipV="1">
          <a:off x="2743200" y="1495425"/>
          <a:ext cx="647700" cy="552450"/>
        </a:xfrm>
        <a:prstGeom prst="rect">
          <a:avLst/>
        </a:prstGeom>
      </xdr:spPr>
    </xdr:pic>
    <xdr:clientData/>
  </xdr:twoCellAnchor>
  <xdr:twoCellAnchor editAs="oneCell">
    <xdr:from>
      <xdr:col>8</xdr:col>
      <xdr:colOff>246244</xdr:colOff>
      <xdr:row>8</xdr:row>
      <xdr:rowOff>1</xdr:rowOff>
    </xdr:from>
    <xdr:to>
      <xdr:col>9</xdr:col>
      <xdr:colOff>181680</xdr:colOff>
      <xdr:row>10</xdr:row>
      <xdr:rowOff>133350</xdr:rowOff>
    </xdr:to>
    <xdr:pic>
      <xdr:nvPicPr>
        <xdr:cNvPr id="46" name="Picture 45">
          <a:extLst>
            <a:ext uri="{FF2B5EF4-FFF2-40B4-BE49-F238E27FC236}">
              <a16:creationId xmlns:a16="http://schemas.microsoft.com/office/drawing/2014/main" id="{E0A938FD-C306-48DD-9FC5-F2CD31824C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23044" y="1524001"/>
          <a:ext cx="545036" cy="514349"/>
        </a:xfrm>
        <a:prstGeom prst="rect">
          <a:avLst/>
        </a:prstGeom>
      </xdr:spPr>
    </xdr:pic>
    <xdr:clientData/>
  </xdr:twoCellAnchor>
  <xdr:twoCellAnchor editAs="oneCell">
    <xdr:from>
      <xdr:col>12</xdr:col>
      <xdr:colOff>219075</xdr:colOff>
      <xdr:row>8</xdr:row>
      <xdr:rowOff>0</xdr:rowOff>
    </xdr:from>
    <xdr:to>
      <xdr:col>13</xdr:col>
      <xdr:colOff>75589</xdr:colOff>
      <xdr:row>10</xdr:row>
      <xdr:rowOff>85114</xdr:rowOff>
    </xdr:to>
    <xdr:pic>
      <xdr:nvPicPr>
        <xdr:cNvPr id="48" name="Picture 47">
          <a:extLst>
            <a:ext uri="{FF2B5EF4-FFF2-40B4-BE49-F238E27FC236}">
              <a16:creationId xmlns:a16="http://schemas.microsoft.com/office/drawing/2014/main" id="{371D30C9-E2B7-446F-98BE-765ADF78F4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34275" y="1524000"/>
          <a:ext cx="466114" cy="466114"/>
        </a:xfrm>
        <a:prstGeom prst="rect">
          <a:avLst/>
        </a:prstGeom>
      </xdr:spPr>
    </xdr:pic>
    <xdr:clientData/>
  </xdr:twoCellAnchor>
  <xdr:twoCellAnchor editAs="oneCell">
    <xdr:from>
      <xdr:col>16</xdr:col>
      <xdr:colOff>85724</xdr:colOff>
      <xdr:row>7</xdr:row>
      <xdr:rowOff>171451</xdr:rowOff>
    </xdr:from>
    <xdr:to>
      <xdr:col>16</xdr:col>
      <xdr:colOff>581024</xdr:colOff>
      <xdr:row>10</xdr:row>
      <xdr:rowOff>95251</xdr:rowOff>
    </xdr:to>
    <xdr:pic>
      <xdr:nvPicPr>
        <xdr:cNvPr id="50" name="Picture 49">
          <a:extLst>
            <a:ext uri="{FF2B5EF4-FFF2-40B4-BE49-F238E27FC236}">
              <a16:creationId xmlns:a16="http://schemas.microsoft.com/office/drawing/2014/main" id="{587C8DDF-288B-470B-9564-AFD02320E4B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9324" y="1504951"/>
          <a:ext cx="495300" cy="495300"/>
        </a:xfrm>
        <a:prstGeom prst="rect">
          <a:avLst/>
        </a:prstGeom>
      </xdr:spPr>
    </xdr:pic>
    <xdr:clientData/>
  </xdr:twoCellAnchor>
  <xdr:twoCellAnchor editAs="oneCell">
    <xdr:from>
      <xdr:col>19</xdr:col>
      <xdr:colOff>581024</xdr:colOff>
      <xdr:row>7</xdr:row>
      <xdr:rowOff>171450</xdr:rowOff>
    </xdr:from>
    <xdr:to>
      <xdr:col>20</xdr:col>
      <xdr:colOff>438150</xdr:colOff>
      <xdr:row>10</xdr:row>
      <xdr:rowOff>104776</xdr:rowOff>
    </xdr:to>
    <xdr:pic>
      <xdr:nvPicPr>
        <xdr:cNvPr id="52" name="Picture 51">
          <a:extLst>
            <a:ext uri="{FF2B5EF4-FFF2-40B4-BE49-F238E27FC236}">
              <a16:creationId xmlns:a16="http://schemas.microsoft.com/office/drawing/2014/main" id="{4BAE70D1-CAAA-4F4D-A8BC-66F85DA8F0C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2163424" y="1504950"/>
          <a:ext cx="466726" cy="504826"/>
        </a:xfrm>
        <a:prstGeom prst="rect">
          <a:avLst/>
        </a:prstGeom>
      </xdr:spPr>
    </xdr:pic>
    <xdr:clientData/>
  </xdr:twoCellAnchor>
  <xdr:twoCellAnchor>
    <xdr:from>
      <xdr:col>2</xdr:col>
      <xdr:colOff>104774</xdr:colOff>
      <xdr:row>11</xdr:row>
      <xdr:rowOff>19048</xdr:rowOff>
    </xdr:from>
    <xdr:to>
      <xdr:col>8</xdr:col>
      <xdr:colOff>47625</xdr:colOff>
      <xdr:row>21</xdr:row>
      <xdr:rowOff>171449</xdr:rowOff>
    </xdr:to>
    <xdr:sp macro="" textlink="">
      <xdr:nvSpPr>
        <xdr:cNvPr id="53" name="Rectangle: Rounded Corners 52">
          <a:extLst>
            <a:ext uri="{FF2B5EF4-FFF2-40B4-BE49-F238E27FC236}">
              <a16:creationId xmlns:a16="http://schemas.microsoft.com/office/drawing/2014/main" id="{3254BAFE-1247-458F-8D0B-EF1F1B42F237}"/>
            </a:ext>
          </a:extLst>
        </xdr:cNvPr>
        <xdr:cNvSpPr/>
      </xdr:nvSpPr>
      <xdr:spPr>
        <a:xfrm>
          <a:off x="1323974" y="2114548"/>
          <a:ext cx="3600451" cy="2057401"/>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85724</xdr:colOff>
      <xdr:row>11</xdr:row>
      <xdr:rowOff>19049</xdr:rowOff>
    </xdr:from>
    <xdr:to>
      <xdr:col>12</xdr:col>
      <xdr:colOff>257175</xdr:colOff>
      <xdr:row>21</xdr:row>
      <xdr:rowOff>171450</xdr:rowOff>
    </xdr:to>
    <xdr:sp macro="" textlink="">
      <xdr:nvSpPr>
        <xdr:cNvPr id="54" name="Rectangle: Rounded Corners 53">
          <a:extLst>
            <a:ext uri="{FF2B5EF4-FFF2-40B4-BE49-F238E27FC236}">
              <a16:creationId xmlns:a16="http://schemas.microsoft.com/office/drawing/2014/main" id="{352AB3A0-DB5E-4B0E-85DA-D9F4924B0547}"/>
            </a:ext>
          </a:extLst>
        </xdr:cNvPr>
        <xdr:cNvSpPr/>
      </xdr:nvSpPr>
      <xdr:spPr>
        <a:xfrm>
          <a:off x="4962524" y="2114549"/>
          <a:ext cx="2609851" cy="2057401"/>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304800</xdr:colOff>
      <xdr:row>11</xdr:row>
      <xdr:rowOff>19048</xdr:rowOff>
    </xdr:from>
    <xdr:to>
      <xdr:col>16</xdr:col>
      <xdr:colOff>457200</xdr:colOff>
      <xdr:row>21</xdr:row>
      <xdr:rowOff>171449</xdr:rowOff>
    </xdr:to>
    <xdr:sp macro="" textlink="">
      <xdr:nvSpPr>
        <xdr:cNvPr id="58" name="Rectangle: Rounded Corners 57">
          <a:extLst>
            <a:ext uri="{FF2B5EF4-FFF2-40B4-BE49-F238E27FC236}">
              <a16:creationId xmlns:a16="http://schemas.microsoft.com/office/drawing/2014/main" id="{4FA1395E-E383-4A5B-A6BE-2D57172FEC92}"/>
            </a:ext>
          </a:extLst>
        </xdr:cNvPr>
        <xdr:cNvSpPr/>
      </xdr:nvSpPr>
      <xdr:spPr>
        <a:xfrm>
          <a:off x="7620000" y="2114548"/>
          <a:ext cx="2590800" cy="2057401"/>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495300</xdr:colOff>
      <xdr:row>11</xdr:row>
      <xdr:rowOff>19049</xdr:rowOff>
    </xdr:from>
    <xdr:to>
      <xdr:col>20</xdr:col>
      <xdr:colOff>561975</xdr:colOff>
      <xdr:row>21</xdr:row>
      <xdr:rowOff>161925</xdr:rowOff>
    </xdr:to>
    <xdr:sp macro="" textlink="">
      <xdr:nvSpPr>
        <xdr:cNvPr id="59" name="Rectangle: Rounded Corners 58">
          <a:extLst>
            <a:ext uri="{FF2B5EF4-FFF2-40B4-BE49-F238E27FC236}">
              <a16:creationId xmlns:a16="http://schemas.microsoft.com/office/drawing/2014/main" id="{C15ACBFF-EC46-4F8C-AC4D-F9ECAF44EA42}"/>
            </a:ext>
          </a:extLst>
        </xdr:cNvPr>
        <xdr:cNvSpPr/>
      </xdr:nvSpPr>
      <xdr:spPr>
        <a:xfrm>
          <a:off x="10248900" y="2114549"/>
          <a:ext cx="2505075" cy="2047876"/>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104775</xdr:colOff>
      <xdr:row>22</xdr:row>
      <xdr:rowOff>28575</xdr:rowOff>
    </xdr:from>
    <xdr:to>
      <xdr:col>7</xdr:col>
      <xdr:colOff>361951</xdr:colOff>
      <xdr:row>33</xdr:row>
      <xdr:rowOff>66675</xdr:rowOff>
    </xdr:to>
    <xdr:sp macro="" textlink="">
      <xdr:nvSpPr>
        <xdr:cNvPr id="60" name="Rectangle: Rounded Corners 59">
          <a:extLst>
            <a:ext uri="{FF2B5EF4-FFF2-40B4-BE49-F238E27FC236}">
              <a16:creationId xmlns:a16="http://schemas.microsoft.com/office/drawing/2014/main" id="{DDD276EB-FD03-4244-98B9-D4C746E9C35F}"/>
            </a:ext>
          </a:extLst>
        </xdr:cNvPr>
        <xdr:cNvSpPr/>
      </xdr:nvSpPr>
      <xdr:spPr>
        <a:xfrm>
          <a:off x="1323975" y="4219575"/>
          <a:ext cx="3305176" cy="2133600"/>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400050</xdr:colOff>
      <xdr:row>22</xdr:row>
      <xdr:rowOff>28575</xdr:rowOff>
    </xdr:from>
    <xdr:to>
      <xdr:col>12</xdr:col>
      <xdr:colOff>161925</xdr:colOff>
      <xdr:row>33</xdr:row>
      <xdr:rowOff>66675</xdr:rowOff>
    </xdr:to>
    <xdr:sp macro="" textlink="">
      <xdr:nvSpPr>
        <xdr:cNvPr id="61" name="Rectangle: Rounded Corners 60">
          <a:extLst>
            <a:ext uri="{FF2B5EF4-FFF2-40B4-BE49-F238E27FC236}">
              <a16:creationId xmlns:a16="http://schemas.microsoft.com/office/drawing/2014/main" id="{BF62E009-E874-4F05-8ACD-580AACCFCB41}"/>
            </a:ext>
          </a:extLst>
        </xdr:cNvPr>
        <xdr:cNvSpPr/>
      </xdr:nvSpPr>
      <xdr:spPr>
        <a:xfrm>
          <a:off x="4667250" y="4219575"/>
          <a:ext cx="2809875" cy="2133600"/>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190500</xdr:colOff>
      <xdr:row>22</xdr:row>
      <xdr:rowOff>28575</xdr:rowOff>
    </xdr:from>
    <xdr:to>
      <xdr:col>16</xdr:col>
      <xdr:colOff>561975</xdr:colOff>
      <xdr:row>33</xdr:row>
      <xdr:rowOff>66675</xdr:rowOff>
    </xdr:to>
    <xdr:sp macro="" textlink="">
      <xdr:nvSpPr>
        <xdr:cNvPr id="64" name="Rectangle: Rounded Corners 63">
          <a:extLst>
            <a:ext uri="{FF2B5EF4-FFF2-40B4-BE49-F238E27FC236}">
              <a16:creationId xmlns:a16="http://schemas.microsoft.com/office/drawing/2014/main" id="{C74E5CFF-7AC7-4F68-A6BB-48E111DAEAB0}"/>
            </a:ext>
          </a:extLst>
        </xdr:cNvPr>
        <xdr:cNvSpPr/>
      </xdr:nvSpPr>
      <xdr:spPr>
        <a:xfrm>
          <a:off x="7505700" y="4219575"/>
          <a:ext cx="2809875" cy="2133600"/>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600075</xdr:colOff>
      <xdr:row>22</xdr:row>
      <xdr:rowOff>28575</xdr:rowOff>
    </xdr:from>
    <xdr:to>
      <xdr:col>20</xdr:col>
      <xdr:colOff>581025</xdr:colOff>
      <xdr:row>33</xdr:row>
      <xdr:rowOff>66675</xdr:rowOff>
    </xdr:to>
    <xdr:sp macro="" textlink="">
      <xdr:nvSpPr>
        <xdr:cNvPr id="65" name="Rectangle: Rounded Corners 64">
          <a:extLst>
            <a:ext uri="{FF2B5EF4-FFF2-40B4-BE49-F238E27FC236}">
              <a16:creationId xmlns:a16="http://schemas.microsoft.com/office/drawing/2014/main" id="{B672BC0F-EEB0-4542-AD35-BB60B91030E1}"/>
            </a:ext>
          </a:extLst>
        </xdr:cNvPr>
        <xdr:cNvSpPr/>
      </xdr:nvSpPr>
      <xdr:spPr>
        <a:xfrm>
          <a:off x="10353675" y="4219575"/>
          <a:ext cx="2419350" cy="2133600"/>
        </a:xfrm>
        <a:prstGeom prst="roundRect">
          <a:avLst>
            <a:gd name="adj" fmla="val 3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104775</xdr:colOff>
      <xdr:row>11</xdr:row>
      <xdr:rowOff>19050</xdr:rowOff>
    </xdr:from>
    <xdr:to>
      <xdr:col>8</xdr:col>
      <xdr:colOff>57150</xdr:colOff>
      <xdr:row>22</xdr:row>
      <xdr:rowOff>0</xdr:rowOff>
    </xdr:to>
    <xdr:graphicFrame macro="">
      <xdr:nvGraphicFramePr>
        <xdr:cNvPr id="66" name="Chart 65">
          <a:extLst>
            <a:ext uri="{FF2B5EF4-FFF2-40B4-BE49-F238E27FC236}">
              <a16:creationId xmlns:a16="http://schemas.microsoft.com/office/drawing/2014/main" id="{E472F6B1-8F68-4B24-9B19-D9CFC79AB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85724</xdr:colOff>
      <xdr:row>11</xdr:row>
      <xdr:rowOff>19049</xdr:rowOff>
    </xdr:from>
    <xdr:to>
      <xdr:col>12</xdr:col>
      <xdr:colOff>257175</xdr:colOff>
      <xdr:row>21</xdr:row>
      <xdr:rowOff>180975</xdr:rowOff>
    </xdr:to>
    <xdr:graphicFrame macro="">
      <xdr:nvGraphicFramePr>
        <xdr:cNvPr id="67" name="Chart 66">
          <a:extLst>
            <a:ext uri="{FF2B5EF4-FFF2-40B4-BE49-F238E27FC236}">
              <a16:creationId xmlns:a16="http://schemas.microsoft.com/office/drawing/2014/main" id="{70688659-7B8B-42FE-B3B6-DFD90C6D7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304799</xdr:colOff>
      <xdr:row>11</xdr:row>
      <xdr:rowOff>19048</xdr:rowOff>
    </xdr:from>
    <xdr:to>
      <xdr:col>16</xdr:col>
      <xdr:colOff>466724</xdr:colOff>
      <xdr:row>21</xdr:row>
      <xdr:rowOff>171450</xdr:rowOff>
    </xdr:to>
    <xdr:graphicFrame macro="">
      <xdr:nvGraphicFramePr>
        <xdr:cNvPr id="68" name="Chart 67">
          <a:extLst>
            <a:ext uri="{FF2B5EF4-FFF2-40B4-BE49-F238E27FC236}">
              <a16:creationId xmlns:a16="http://schemas.microsoft.com/office/drawing/2014/main" id="{A0A64A5C-8494-4FE9-8F0F-A94DC74CA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504826</xdr:colOff>
      <xdr:row>11</xdr:row>
      <xdr:rowOff>28575</xdr:rowOff>
    </xdr:from>
    <xdr:to>
      <xdr:col>20</xdr:col>
      <xdr:colOff>561976</xdr:colOff>
      <xdr:row>21</xdr:row>
      <xdr:rowOff>152401</xdr:rowOff>
    </xdr:to>
    <xdr:graphicFrame macro="">
      <xdr:nvGraphicFramePr>
        <xdr:cNvPr id="69" name="Chart 68">
          <a:extLst>
            <a:ext uri="{FF2B5EF4-FFF2-40B4-BE49-F238E27FC236}">
              <a16:creationId xmlns:a16="http://schemas.microsoft.com/office/drawing/2014/main" id="{8B67E9D0-4AE0-4C51-A6C3-3FA1A207C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104775</xdr:colOff>
      <xdr:row>22</xdr:row>
      <xdr:rowOff>28575</xdr:rowOff>
    </xdr:from>
    <xdr:to>
      <xdr:col>7</xdr:col>
      <xdr:colOff>352425</xdr:colOff>
      <xdr:row>33</xdr:row>
      <xdr:rowOff>66675</xdr:rowOff>
    </xdr:to>
    <xdr:graphicFrame macro="">
      <xdr:nvGraphicFramePr>
        <xdr:cNvPr id="70" name="Chart 69">
          <a:extLst>
            <a:ext uri="{FF2B5EF4-FFF2-40B4-BE49-F238E27FC236}">
              <a16:creationId xmlns:a16="http://schemas.microsoft.com/office/drawing/2014/main" id="{E0E239F3-3DBF-4987-9B45-B90EA7D0B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400050</xdr:colOff>
      <xdr:row>22</xdr:row>
      <xdr:rowOff>28575</xdr:rowOff>
    </xdr:from>
    <xdr:to>
      <xdr:col>12</xdr:col>
      <xdr:colOff>161925</xdr:colOff>
      <xdr:row>33</xdr:row>
      <xdr:rowOff>57150</xdr:rowOff>
    </xdr:to>
    <xdr:graphicFrame macro="">
      <xdr:nvGraphicFramePr>
        <xdr:cNvPr id="71" name="Chart 70">
          <a:extLst>
            <a:ext uri="{FF2B5EF4-FFF2-40B4-BE49-F238E27FC236}">
              <a16:creationId xmlns:a16="http://schemas.microsoft.com/office/drawing/2014/main" id="{AA95B144-7538-45E9-9284-22E804E49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190500</xdr:colOff>
      <xdr:row>22</xdr:row>
      <xdr:rowOff>28574</xdr:rowOff>
    </xdr:from>
    <xdr:to>
      <xdr:col>16</xdr:col>
      <xdr:colOff>561975</xdr:colOff>
      <xdr:row>33</xdr:row>
      <xdr:rowOff>76199</xdr:rowOff>
    </xdr:to>
    <xdr:graphicFrame macro="">
      <xdr:nvGraphicFramePr>
        <xdr:cNvPr id="72" name="Chart 71">
          <a:extLst>
            <a:ext uri="{FF2B5EF4-FFF2-40B4-BE49-F238E27FC236}">
              <a16:creationId xmlns:a16="http://schemas.microsoft.com/office/drawing/2014/main" id="{994543BA-9ED5-4CB9-9C2B-4F038EE09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600076</xdr:colOff>
      <xdr:row>22</xdr:row>
      <xdr:rowOff>28575</xdr:rowOff>
    </xdr:from>
    <xdr:to>
      <xdr:col>20</xdr:col>
      <xdr:colOff>600076</xdr:colOff>
      <xdr:row>33</xdr:row>
      <xdr:rowOff>47625</xdr:rowOff>
    </xdr:to>
    <xdr:graphicFrame macro="">
      <xdr:nvGraphicFramePr>
        <xdr:cNvPr id="73" name="Chart 72">
          <a:extLst>
            <a:ext uri="{FF2B5EF4-FFF2-40B4-BE49-F238E27FC236}">
              <a16:creationId xmlns:a16="http://schemas.microsoft.com/office/drawing/2014/main" id="{3F3FC24B-9021-436A-98E9-1B3D5A4BC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76200</xdr:colOff>
      <xdr:row>3</xdr:row>
      <xdr:rowOff>104775</xdr:rowOff>
    </xdr:from>
    <xdr:to>
      <xdr:col>8</xdr:col>
      <xdr:colOff>523875</xdr:colOff>
      <xdr:row>7</xdr:row>
      <xdr:rowOff>85725</xdr:rowOff>
    </xdr:to>
    <mc:AlternateContent xmlns:mc="http://schemas.openxmlformats.org/markup-compatibility/2006">
      <mc:Choice xmlns:a14="http://schemas.microsoft.com/office/drawing/2010/main" Requires="a14">
        <xdr:graphicFrame macro="">
          <xdr:nvGraphicFramePr>
            <xdr:cNvPr id="75" name="Month">
              <a:extLst>
                <a:ext uri="{FF2B5EF4-FFF2-40B4-BE49-F238E27FC236}">
                  <a16:creationId xmlns:a16="http://schemas.microsoft.com/office/drawing/2014/main" id="{1D6F7672-9C56-4C95-AA20-7292A71332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95400" y="676275"/>
              <a:ext cx="4105275"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561975</xdr:colOff>
      <xdr:row>3</xdr:row>
      <xdr:rowOff>95251</xdr:rowOff>
    </xdr:from>
    <xdr:to>
      <xdr:col>15</xdr:col>
      <xdr:colOff>409575</xdr:colOff>
      <xdr:row>7</xdr:row>
      <xdr:rowOff>85725</xdr:rowOff>
    </xdr:to>
    <mc:AlternateContent xmlns:mc="http://schemas.openxmlformats.org/markup-compatibility/2006">
      <mc:Choice xmlns:a14="http://schemas.microsoft.com/office/drawing/2010/main" Requires="a14">
        <xdr:graphicFrame macro="">
          <xdr:nvGraphicFramePr>
            <xdr:cNvPr id="76" name="Item Category">
              <a:extLst>
                <a:ext uri="{FF2B5EF4-FFF2-40B4-BE49-F238E27FC236}">
                  <a16:creationId xmlns:a16="http://schemas.microsoft.com/office/drawing/2014/main" id="{70C6AE92-A056-442D-BA4A-960C3E4AFD77}"/>
                </a:ext>
              </a:extLst>
            </xdr:cNvPr>
            <xdr:cNvGraphicFramePr/>
          </xdr:nvGraphicFramePr>
          <xdr:xfrm>
            <a:off x="0" y="0"/>
            <a:ext cx="0" cy="0"/>
          </xdr:xfrm>
          <a:graphic>
            <a:graphicData uri="http://schemas.microsoft.com/office/drawing/2010/slicer">
              <sle:slicer xmlns:sle="http://schemas.microsoft.com/office/drawing/2010/slicer" name="Item Category"/>
            </a:graphicData>
          </a:graphic>
        </xdr:graphicFrame>
      </mc:Choice>
      <mc:Fallback>
        <xdr:sp macro="" textlink="">
          <xdr:nvSpPr>
            <xdr:cNvPr id="0" name=""/>
            <xdr:cNvSpPr>
              <a:spLocks noTextEdit="1"/>
            </xdr:cNvSpPr>
          </xdr:nvSpPr>
          <xdr:spPr>
            <a:xfrm>
              <a:off x="5438775" y="666751"/>
              <a:ext cx="4114800" cy="752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447674</xdr:colOff>
      <xdr:row>3</xdr:row>
      <xdr:rowOff>95250</xdr:rowOff>
    </xdr:from>
    <xdr:to>
      <xdr:col>20</xdr:col>
      <xdr:colOff>533399</xdr:colOff>
      <xdr:row>7</xdr:row>
      <xdr:rowOff>76199</xdr:rowOff>
    </xdr:to>
    <mc:AlternateContent xmlns:mc="http://schemas.openxmlformats.org/markup-compatibility/2006">
      <mc:Choice xmlns:a14="http://schemas.microsoft.com/office/drawing/2010/main" Requires="a14">
        <xdr:graphicFrame macro="">
          <xdr:nvGraphicFramePr>
            <xdr:cNvPr id="77" name="Region">
              <a:extLst>
                <a:ext uri="{FF2B5EF4-FFF2-40B4-BE49-F238E27FC236}">
                  <a16:creationId xmlns:a16="http://schemas.microsoft.com/office/drawing/2014/main" id="{BDF9A182-BA23-40BF-BA35-4869EDE700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91674" y="666750"/>
              <a:ext cx="3133725" cy="742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47624</xdr:rowOff>
    </xdr:from>
    <xdr:to>
      <xdr:col>1</xdr:col>
      <xdr:colOff>476250</xdr:colOff>
      <xdr:row>4</xdr:row>
      <xdr:rowOff>152400</xdr:rowOff>
    </xdr:to>
    <xdr:pic>
      <xdr:nvPicPr>
        <xdr:cNvPr id="78" name="Graphic 77" descr="Presentation with bar chart with solid fill">
          <a:extLst>
            <a:ext uri="{FF2B5EF4-FFF2-40B4-BE49-F238E27FC236}">
              <a16:creationId xmlns:a16="http://schemas.microsoft.com/office/drawing/2014/main" id="{7FA6C725-C644-4E01-AD10-0C7D329CB5A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0" y="47624"/>
          <a:ext cx="1085850" cy="866776"/>
        </a:xfrm>
        <a:prstGeom prst="rect">
          <a:avLst/>
        </a:prstGeom>
      </xdr:spPr>
    </xdr:pic>
    <xdr:clientData/>
  </xdr:twoCellAnchor>
  <xdr:twoCellAnchor editAs="oneCell">
    <xdr:from>
      <xdr:col>0</xdr:col>
      <xdr:colOff>390525</xdr:colOff>
      <xdr:row>8</xdr:row>
      <xdr:rowOff>19050</xdr:rowOff>
    </xdr:from>
    <xdr:to>
      <xdr:col>1</xdr:col>
      <xdr:colOff>285750</xdr:colOff>
      <xdr:row>10</xdr:row>
      <xdr:rowOff>142875</xdr:rowOff>
    </xdr:to>
    <xdr:pic>
      <xdr:nvPicPr>
        <xdr:cNvPr id="80" name="Picture 79">
          <a:hlinkClick xmlns:r="http://schemas.openxmlformats.org/officeDocument/2006/relationships" r:id="rId17"/>
          <a:extLst>
            <a:ext uri="{FF2B5EF4-FFF2-40B4-BE49-F238E27FC236}">
              <a16:creationId xmlns:a16="http://schemas.microsoft.com/office/drawing/2014/main" id="{017EA6F7-008B-4194-BAED-A8A6B0BB477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90525" y="1543050"/>
          <a:ext cx="504825" cy="504825"/>
        </a:xfrm>
        <a:prstGeom prst="rect">
          <a:avLst/>
        </a:prstGeom>
      </xdr:spPr>
    </xdr:pic>
    <xdr:clientData/>
  </xdr:twoCellAnchor>
  <xdr:twoCellAnchor>
    <xdr:from>
      <xdr:col>0</xdr:col>
      <xdr:colOff>0</xdr:colOff>
      <xdr:row>10</xdr:row>
      <xdr:rowOff>161925</xdr:rowOff>
    </xdr:from>
    <xdr:to>
      <xdr:col>2</xdr:col>
      <xdr:colOff>34045</xdr:colOff>
      <xdr:row>12</xdr:row>
      <xdr:rowOff>101826</xdr:rowOff>
    </xdr:to>
    <xdr:sp macro="" textlink="">
      <xdr:nvSpPr>
        <xdr:cNvPr id="81" name="Rectangle: Rounded Corners 80">
          <a:hlinkClick xmlns:r="http://schemas.openxmlformats.org/officeDocument/2006/relationships" r:id="rId17"/>
          <a:extLst>
            <a:ext uri="{FF2B5EF4-FFF2-40B4-BE49-F238E27FC236}">
              <a16:creationId xmlns:a16="http://schemas.microsoft.com/office/drawing/2014/main" id="{47533DCC-901E-478A-83A1-5F59BB0B70DB}"/>
            </a:ext>
          </a:extLst>
        </xdr:cNvPr>
        <xdr:cNvSpPr/>
      </xdr:nvSpPr>
      <xdr:spPr>
        <a:xfrm>
          <a:off x="0" y="2066925"/>
          <a:ext cx="1253245" cy="320901"/>
        </a:xfrm>
        <a:prstGeom prst="roundRect">
          <a:avLst>
            <a:gd name="adj" fmla="val 50000"/>
          </a:avLst>
        </a:prstGeom>
        <a:solidFill>
          <a:schemeClr val="bg1"/>
        </a:solidFill>
        <a:ln w="28575">
          <a:solidFill>
            <a:schemeClr val="bg1"/>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6"/>
              </a:solidFill>
            </a:rPr>
            <a:t>Dashboard</a:t>
          </a:r>
        </a:p>
      </xdr:txBody>
    </xdr:sp>
    <xdr:clientData/>
  </xdr:twoCellAnchor>
  <xdr:twoCellAnchor editAs="oneCell">
    <xdr:from>
      <xdr:col>0</xdr:col>
      <xdr:colOff>335096</xdr:colOff>
      <xdr:row>15</xdr:row>
      <xdr:rowOff>38100</xdr:rowOff>
    </xdr:from>
    <xdr:to>
      <xdr:col>1</xdr:col>
      <xdr:colOff>306521</xdr:colOff>
      <xdr:row>18</xdr:row>
      <xdr:rowOff>47625</xdr:rowOff>
    </xdr:to>
    <xdr:pic>
      <xdr:nvPicPr>
        <xdr:cNvPr id="83" name="Picture 82">
          <a:extLst>
            <a:ext uri="{FF2B5EF4-FFF2-40B4-BE49-F238E27FC236}">
              <a16:creationId xmlns:a16="http://schemas.microsoft.com/office/drawing/2014/main" id="{34D3E0C1-7E0F-4F2E-8FB5-50E40D64B7F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flipH="1">
          <a:off x="335096" y="2895600"/>
          <a:ext cx="581025" cy="581025"/>
        </a:xfrm>
        <a:prstGeom prst="rect">
          <a:avLst/>
        </a:prstGeom>
      </xdr:spPr>
    </xdr:pic>
    <xdr:clientData/>
  </xdr:twoCellAnchor>
  <xdr:twoCellAnchor>
    <xdr:from>
      <xdr:col>0</xdr:col>
      <xdr:colOff>28575</xdr:colOff>
      <xdr:row>18</xdr:row>
      <xdr:rowOff>57150</xdr:rowOff>
    </xdr:from>
    <xdr:to>
      <xdr:col>2</xdr:col>
      <xdr:colOff>1063</xdr:colOff>
      <xdr:row>20</xdr:row>
      <xdr:rowOff>27933</xdr:rowOff>
    </xdr:to>
    <xdr:sp macro="" textlink="">
      <xdr:nvSpPr>
        <xdr:cNvPr id="84" name="Rectangle: Rounded Corners 83">
          <a:hlinkClick xmlns:r="http://schemas.openxmlformats.org/officeDocument/2006/relationships" r:id="rId20"/>
          <a:extLst>
            <a:ext uri="{FF2B5EF4-FFF2-40B4-BE49-F238E27FC236}">
              <a16:creationId xmlns:a16="http://schemas.microsoft.com/office/drawing/2014/main" id="{941494CF-6134-4B03-9D9F-102F95B4FF56}"/>
            </a:ext>
          </a:extLst>
        </xdr:cNvPr>
        <xdr:cNvSpPr/>
      </xdr:nvSpPr>
      <xdr:spPr>
        <a:xfrm>
          <a:off x="28575" y="3486150"/>
          <a:ext cx="1191688" cy="351783"/>
        </a:xfrm>
        <a:prstGeom prst="roundRect">
          <a:avLst>
            <a:gd name="adj" fmla="val 50000"/>
          </a:avLst>
        </a:prstGeom>
        <a:noFill/>
        <a:ln w="28575">
          <a:solidFill>
            <a:schemeClr val="bg1"/>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Analysis</a:t>
          </a:r>
        </a:p>
      </xdr:txBody>
    </xdr:sp>
    <xdr:clientData/>
  </xdr:twoCellAnchor>
  <xdr:twoCellAnchor editAs="oneCell">
    <xdr:from>
      <xdr:col>0</xdr:col>
      <xdr:colOff>400050</xdr:colOff>
      <xdr:row>22</xdr:row>
      <xdr:rowOff>123826</xdr:rowOff>
    </xdr:from>
    <xdr:to>
      <xdr:col>1</xdr:col>
      <xdr:colOff>275920</xdr:colOff>
      <xdr:row>25</xdr:row>
      <xdr:rowOff>37796</xdr:rowOff>
    </xdr:to>
    <xdr:pic>
      <xdr:nvPicPr>
        <xdr:cNvPr id="86" name="Picture 85">
          <a:extLst>
            <a:ext uri="{FF2B5EF4-FFF2-40B4-BE49-F238E27FC236}">
              <a16:creationId xmlns:a16="http://schemas.microsoft.com/office/drawing/2014/main" id="{A71630E3-8074-4C3A-9631-2A0D420769FF}"/>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00050" y="4314826"/>
          <a:ext cx="485470" cy="485470"/>
        </a:xfrm>
        <a:prstGeom prst="rect">
          <a:avLst/>
        </a:prstGeom>
      </xdr:spPr>
    </xdr:pic>
    <xdr:clientData/>
  </xdr:twoCellAnchor>
  <xdr:twoCellAnchor>
    <xdr:from>
      <xdr:col>0</xdr:col>
      <xdr:colOff>0</xdr:colOff>
      <xdr:row>25</xdr:row>
      <xdr:rowOff>47625</xdr:rowOff>
    </xdr:from>
    <xdr:to>
      <xdr:col>2</xdr:col>
      <xdr:colOff>4255</xdr:colOff>
      <xdr:row>27</xdr:row>
      <xdr:rowOff>3076</xdr:rowOff>
    </xdr:to>
    <xdr:sp macro="" textlink="">
      <xdr:nvSpPr>
        <xdr:cNvPr id="87" name="Rectangle: Rounded Corners 86">
          <a:extLst>
            <a:ext uri="{FF2B5EF4-FFF2-40B4-BE49-F238E27FC236}">
              <a16:creationId xmlns:a16="http://schemas.microsoft.com/office/drawing/2014/main" id="{49FFD234-4AC3-4EA0-802A-1C2BC1909F10}"/>
            </a:ext>
          </a:extLst>
        </xdr:cNvPr>
        <xdr:cNvSpPr/>
      </xdr:nvSpPr>
      <xdr:spPr>
        <a:xfrm>
          <a:off x="0" y="4810125"/>
          <a:ext cx="1223455" cy="336451"/>
        </a:xfrm>
        <a:prstGeom prst="roundRect">
          <a:avLst>
            <a:gd name="adj" fmla="val 50000"/>
          </a:avLst>
        </a:prstGeom>
        <a:noFill/>
        <a:ln w="28575">
          <a:solidFill>
            <a:schemeClr val="bg1"/>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Data</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49421294" backgroundQuery="1" createdVersion="7" refreshedVersion="7" minRefreshableVersion="3" recordCount="0" supportSubquery="1" supportAdvancedDrill="1" xr:uid="{F681C67E-8481-4FD7-985F-F22F697BF11E}">
  <cacheSource type="external" connectionId="2"/>
  <cacheFields count="3">
    <cacheField name="[Table1].[Month].[Month]" caption="Month" numFmtId="0" hierarchy="15" level="1">
      <sharedItems count="12">
        <s v="Jan"/>
        <s v="Feb"/>
        <s v="Mar"/>
        <s v="Apr"/>
        <s v="May"/>
        <s v="Jun"/>
        <s v="Jul"/>
        <s v="Aug"/>
        <s v="Sep"/>
        <s v="Oct"/>
        <s v="Nov"/>
        <s v="Dec"/>
      </sharedItems>
    </cacheField>
    <cacheField name="[Measures].[Sum of Sales Amount]" caption="Sum of Sales Amount" numFmtId="0" hierarchy="19" level="32767"/>
    <cacheField name="[Table1].[Item Category].[Item Category]" caption="Item Category" numFmtId="0" hierarchy="7" level="1">
      <sharedItems containsSemiMixedTypes="0" containsNonDate="0" containsString="0"/>
    </cacheField>
  </cacheFields>
  <cacheHierarchies count="3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Cost Amount]" caption="Cost Amount" attribute="1" defaultMemberUniqueName="[Table1].[Cost Amount].[All]" allUniqueName="[Table1].[Cost Amount].[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Quarter]" caption="Quarter" attribute="1" defaultMemberUniqueName="[Table1].[Quarter].[All]" allUniqueName="[Table1].[Quarte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0115741" backgroundQuery="1" createdVersion="7" refreshedVersion="7" minRefreshableVersion="3" recordCount="0" supportSubquery="1" supportAdvancedDrill="1" xr:uid="{F51B9807-1801-45A3-A9C1-EA38FB2008A5}">
  <cacheSource type="external" connectionId="2"/>
  <cacheFields count="6">
    <cacheField name="[Measures].[Sum of Sales Amount]" caption="Sum of Sales Amount" numFmtId="0" hierarchy="19" level="32767"/>
    <cacheField name="[Measures].[Sum of Quantity Sold]" caption="Sum of Quantity Sold" numFmtId="0" hierarchy="20" level="32767"/>
    <cacheField name="[Measures].[Count of Order ID]" caption="Count of Order ID" numFmtId="0" hierarchy="21" level="32767"/>
    <cacheField name="[Measures].[Distinct Count of Customer Name]" caption="Distinct Count of Customer Name" numFmtId="0" hierarchy="26" level="32767"/>
    <cacheField name="[Measures].[Average of Sales Amount]" caption="Average of Sales Amount" numFmtId="0" hierarchy="22" level="32767"/>
    <cacheField name="[Table1].[Item Category].[Item Category]" caption="Item Category" numFmtId="0" hierarchy="7" level="1">
      <sharedItems containsSemiMixedTypes="0" containsNonDate="0" containsString="0"/>
    </cacheField>
  </cacheFields>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5"/>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0694442" backgroundQuery="1" createdVersion="7" refreshedVersion="7" minRefreshableVersion="3" recordCount="0" supportSubquery="1" supportAdvancedDrill="1" xr:uid="{5306681C-1473-439A-A2A7-B08E5651672C}">
  <cacheSource type="external" connectionId="2"/>
  <cacheFields count="3">
    <cacheField name="[Measures].[Sum of Sales Amount]" caption="Sum of Sales Amount" numFmtId="0" hierarchy="19" level="32767"/>
    <cacheField name="[Table1].[Region].[Region]" caption="Region" numFmtId="0" hierarchy="8" level="1">
      <sharedItems count="4">
        <s v="East"/>
        <s v="North"/>
        <s v="South"/>
        <s v="West"/>
      </sharedItems>
    </cacheField>
    <cacheField name="[Table1].[Item Category].[Item Category]" caption="Item Category" numFmtId="0" hierarchy="7" level="1">
      <sharedItems containsSemiMixedTypes="0" containsNonDate="0" containsString="0"/>
    </cacheField>
  </cacheFields>
  <cacheHierarchies count="3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Sold]" caption="Quantity Sold" attribute="1" defaultMemberUniqueName="[Table1].[Quantity Sold].[All]" allUniqueName="[Table1].[Quantity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Cost Amount]" caption="Cost Amount" attribute="1" defaultMemberUniqueName="[Table1].[Cost Amount].[All]" allUniqueName="[Table1].[Cost Amount].[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Quarter]" caption="Quarter" attribute="1" defaultMemberUniqueName="[Table1].[Quarter].[All]" allUniqueName="[Table1].[Quarte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1273149" backgroundQuery="1" createdVersion="7" refreshedVersion="7" minRefreshableVersion="3" recordCount="0" supportSubquery="1" supportAdvancedDrill="1" xr:uid="{66B42D32-38A4-4428-B63D-B645F2F8E869}">
  <cacheSource type="external" connectionId="2"/>
  <cacheFields count="3">
    <cacheField name="[Measures].[Sum of Profit]" caption="Sum of Profit" numFmtId="0" hierarchy="29" level="32767"/>
    <cacheField name="[Table1].[Region].[Region]" caption="Region" numFmtId="0" hierarchy="8" level="1">
      <sharedItems count="4">
        <s v="East"/>
        <s v="North"/>
        <s v="South"/>
        <s v="West"/>
      </sharedItems>
    </cacheField>
    <cacheField name="[Table1].[Item Category].[Item Category]" caption="Item Category" numFmtId="0" hierarchy="7" level="1">
      <sharedItems containsSemiMixedTypes="0" containsNonDate="0" containsString="0"/>
    </cacheField>
  </cacheFields>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2314812" backgroundQuery="1" createdVersion="7" refreshedVersion="7" minRefreshableVersion="3" recordCount="0" supportSubquery="1" supportAdvancedDrill="1" xr:uid="{36333130-1C04-4A62-BE85-B2DDC7EE398E}">
  <cacheSource type="external" connectionId="2"/>
  <cacheFields count="3">
    <cacheField name="[Measures].[Sum of Sales Amount]" caption="Sum of Sales Amount" numFmtId="0" hierarchy="19" level="32767"/>
    <cacheField name="[Table1].[Customer Name].[Customer Name]" caption="Customer Name" numFmtId="0" hierarchy="4" level="1">
      <sharedItems count="5">
        <s v="Aurora"/>
        <s v="Jonathan"/>
        <s v="Maria"/>
        <s v="Nevaeh"/>
        <s v="Vivian"/>
      </sharedItems>
    </cacheField>
    <cacheField name="[Table1].[Item Category].[Item Category]" caption="Item Category" numFmtId="0" hierarchy="7" level="1">
      <sharedItems containsSemiMixedTypes="0" containsNonDate="0" containsString="0"/>
    </cacheField>
  </cacheFields>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3009258" backgroundQuery="1" createdVersion="7" refreshedVersion="7" minRefreshableVersion="3" recordCount="0" supportSubquery="1" supportAdvancedDrill="1" xr:uid="{B404D4D4-603A-46FC-9E4C-9D6B5C86E713}">
  <cacheSource type="external" connectionId="2"/>
  <cacheFields count="2">
    <cacheField name="[Measures].[Sum of Sales Amount]" caption="Sum of Sales Amount" numFmtId="0" hierarchy="19" level="32767"/>
    <cacheField name="[Table1].[Item Category].[Item Category]" caption="Item Category" numFmtId="0" hierarchy="7" level="1">
      <sharedItems count="1">
        <s v="Charger"/>
      </sharedItems>
    </cacheField>
  </cacheFields>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3935182" backgroundQuery="1" createdVersion="7" refreshedVersion="7" minRefreshableVersion="3" recordCount="0" supportSubquery="1" supportAdvancedDrill="1" xr:uid="{9EE4271C-F237-468E-8116-0C623B066CDF}">
  <cacheSource type="external" connectionId="2"/>
  <cacheFields count="3">
    <cacheField name="[Table1].[Item Category].[Item Category]" caption="Item Category" numFmtId="0" hierarchy="7" level="1">
      <sharedItems count="1">
        <s v="Charger"/>
      </sharedItems>
    </cacheField>
    <cacheField name="[Measures].[Sum of Sales Amount]" caption="Sum of Sales Amount" numFmtId="0" hierarchy="19" level="32767"/>
    <cacheField name="[Measures].[Sum of Cost Amount]" caption="Sum of Cost Amount" numFmtId="0" hierarchy="27" level="32767"/>
  </cacheFields>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4629629" backgroundQuery="1" createdVersion="7" refreshedVersion="7" minRefreshableVersion="3" recordCount="0" supportSubquery="1" supportAdvancedDrill="1" xr:uid="{4F6BBF58-B4E4-4E79-9B5B-BBB01CD5E3E3}">
  <cacheSource type="external" connectionId="2"/>
  <cacheFields count="3">
    <cacheField name="[Table1].[Customer Name].[Customer Name]" caption="Customer Name" numFmtId="0" hierarchy="4" level="1">
      <sharedItems count="5">
        <s v="Alaia"/>
        <s v="Harold"/>
        <s v="Jonathan"/>
        <s v="Maria"/>
        <s v="Vivian"/>
      </sharedItems>
    </cacheField>
    <cacheField name="[Measures].[Sum of Quantity Sold]" caption="Sum of Quantity Sold" numFmtId="0" hierarchy="20" level="32767"/>
    <cacheField name="[Table1].[Item Category].[Item Category]" caption="Item Category" numFmtId="0" hierarchy="7" level="1">
      <sharedItems count="1">
        <s v="Charger"/>
      </sharedItems>
    </cacheField>
  </cacheFields>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1855439814" backgroundQuery="1" createdVersion="7" refreshedVersion="7" minRefreshableVersion="3" recordCount="0" supportSubquery="1" supportAdvancedDrill="1" xr:uid="{6CE4650C-EF66-42DA-8CA4-A70DD7E55245}">
  <cacheSource type="external" connectionId="2"/>
  <cacheFields count="4">
    <cacheField name="[Table1].[Customer Name].[Customer Name]" caption="Customer Name" numFmtId="0" hierarchy="4" level="1">
      <sharedItems count="5">
        <s v="Alaia"/>
        <s v="Harold"/>
        <s v="Jonathan"/>
        <s v="Maria"/>
        <s v="Vivian"/>
      </sharedItems>
    </cacheField>
    <cacheField name="[Table1].[Month].[Month]" caption="Month" numFmtId="0" hierarchy="15" level="1">
      <sharedItems containsBlank="1" count="13">
        <m/>
        <s v="Jan"/>
        <s v="Feb"/>
        <s v="Mar"/>
        <s v="Apr"/>
        <s v="May"/>
        <s v="Jun"/>
        <s v="Jul"/>
        <s v="Aug"/>
        <s v="Sep"/>
        <s v="Oct"/>
        <s v="Nov"/>
        <s v="Dec"/>
      </sharedItems>
    </cacheField>
    <cacheField name="[Measures].[Count of Order ID]" caption="Count of Order ID" numFmtId="0" hierarchy="21" level="32767"/>
    <cacheField name="[Table1].[Item Category].[Item Category]" caption="Item Category" numFmtId="0" hierarchy="7" level="1">
      <sharedItems containsSemiMixedTypes="0" containsNonDate="0" containsString="0"/>
    </cacheField>
  </cacheFields>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07478935189" backgroundQuery="1" createdVersion="3" refreshedVersion="7" minRefreshableVersion="3" recordCount="0" supportSubquery="1" supportAdvancedDrill="1" xr:uid="{992560CA-B875-45B3-BF60-A37650EDE163}">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Cost Amount]" caption="Average of Cost Amount"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314256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DD234-3C58-45F6-A656-996E84D082BF}" name="PivotTable9" cacheId="1103" dataOnRows="1" applyNumberFormats="0" applyBorderFormats="0" applyFontFormats="0" applyPatternFormats="0" applyAlignmentFormats="0" applyWidthHeightFormats="1" dataCaption="Values" tag="a890e51c-5e3b-4e0a-94a8-19fa469c4f59" updatedVersion="7" minRefreshableVersion="3" useAutoFormatting="1" itemPrintTitles="1" createdVersion="7" indent="0" outline="1" outlineData="1" multipleFieldFilters="0" chartFormat="4">
  <location ref="D21:E35"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Count of Order ID" fld="2" subtotal="count" baseField="0" baseItem="0"/>
  </dataFields>
  <formats count="1">
    <format dxfId="26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Item Category].&amp;[Charg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5A0E6-7D4E-4DAC-9E78-85BAD2E150B7}" name="PivotTable8" cacheId="1100" dataOnRows="1" applyNumberFormats="0" applyBorderFormats="0" applyFontFormats="0" applyPatternFormats="0" applyAlignmentFormats="0" applyWidthHeightFormats="1" dataCaption="Values" tag="8411aaa3-42be-4496-8c59-a925b5c03b3b" updatedVersion="7" minRefreshableVersion="3" useAutoFormatting="1" itemPrintTitles="1" createdVersion="7" indent="0" outline="1" outlineData="1" multipleFieldFilters="0" chartFormat="4">
  <location ref="A17:B19"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Sum of Quantity Sold" fld="1" baseField="0" baseItem="0"/>
  </dataFields>
  <formats count="1">
    <format dxfId="26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5099FE-8822-45A9-ABA5-D078C1F544FA}" name="PivotTable7" cacheId="1097" applyNumberFormats="0" applyBorderFormats="0" applyFontFormats="0" applyPatternFormats="0" applyAlignmentFormats="0" applyWidthHeightFormats="1" dataCaption="Values" tag="08d400fb-520b-4b96-97fa-758b9a2ebab4" updatedVersion="7" minRefreshableVersion="3" useAutoFormatting="1" itemPrintTitles="1" createdVersion="7" indent="0" outline="1" outlineData="1" multipleFieldFilters="0" chartFormat="4">
  <location ref="J12:L14"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Sales Amount" fld="1" baseField="0" baseItem="0"/>
    <dataField name="Sum of Cost Amount" fld="2" baseField="0" baseItem="0"/>
  </dataFields>
  <formats count="1">
    <format dxfId="262">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0910F1-EEB1-49C1-9623-1E322DD2639B}" name="PivotTable6" cacheId="1094" dataOnRows="1" applyNumberFormats="0" applyBorderFormats="0" applyFontFormats="0" applyPatternFormats="0" applyAlignmentFormats="0" applyWidthHeightFormats="1" dataCaption="Values" tag="dadb07a1-b420-4b3a-8c9c-6d6085e38e67" updatedVersion="7" minRefreshableVersion="3" useAutoFormatting="1" itemPrintTitles="1" createdVersion="7" indent="0" outline="1" outlineData="1" multipleFieldFilters="0" chartFormat="4">
  <location ref="G12:H14"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Sum of Sales Amount" fld="0" baseField="0" baseItem="0"/>
  </dataFields>
  <formats count="1">
    <format dxfId="26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A11FC4-1862-475C-A7EB-6614EE0EC776}" name="PivotTable5" cacheId="1091" dataOnRows="1" applyNumberFormats="0" applyBorderFormats="0" applyFontFormats="0" applyPatternFormats="0" applyAlignmentFormats="0" applyWidthHeightFormats="1" dataCaption="Values" tag="71b552bc-6848-4752-85dc-9a8ba9466bd4" updatedVersion="7" minRefreshableVersion="3" useAutoFormatting="1" itemPrintTitles="1" createdVersion="7" indent="0" outline="1" outlineData="1" multipleFieldFilters="0" chartFormat="4">
  <location ref="M4:N1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Amount" fld="0" baseField="0" baseItem="0"/>
  </dataFields>
  <formats count="1">
    <format dxfId="26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Item Category].&amp;[Charg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42D7DD-0EF3-4BC2-8D19-6745A68949FC}" name="PivotTable4" cacheId="1088" dataOnRows="1" applyNumberFormats="0" applyBorderFormats="0" applyFontFormats="0" applyPatternFormats="0" applyAlignmentFormats="0" applyWidthHeightFormats="1" dataCaption="Values" tag="7d3f3c6c-c736-4580-8f84-4508594a8803" updatedVersion="7" minRefreshableVersion="3" useAutoFormatting="1" itemPrintTitles="1" createdVersion="7" indent="0" outline="1" outlineData="1" multipleFieldFilters="0" chartFormat="4">
  <location ref="J4:K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formats count="1">
    <format dxfId="265">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Item Category].&amp;[Charg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716D95-C385-422D-A029-25D0B5A73241}" name="PivotTable3" cacheId="1085" dataOnRows="1" applyNumberFormats="0" applyBorderFormats="0" applyFontFormats="0" applyPatternFormats="0" applyAlignmentFormats="0" applyWidthHeightFormats="1" dataCaption="Values" tag="eafc0c6e-296d-45cd-a281-b5ed7199b5e4" updatedVersion="7" minRefreshableVersion="3" useAutoFormatting="1" itemPrintTitles="1" createdVersion="7" indent="0" outline="1" outlineData="1" multipleFieldFilters="0" chartFormat="4">
  <location ref="G4:H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Amount" fld="0" baseField="0" baseItem="0" numFmtId="167"/>
  </dataFields>
  <formats count="1">
    <format dxfId="26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Item Category].&amp;[Charg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6A37A3-F50F-4C6B-9556-0095E0B81493}" name="PivotTable2" cacheId="1079" dataOnRows="1" applyNumberFormats="0" applyBorderFormats="0" applyFontFormats="0" applyPatternFormats="0" applyAlignmentFormats="0" applyWidthHeightFormats="1" dataCaption="Values" tag="09e6892f-bd3e-4b7e-92c9-7324abee5603" updatedVersion="7" minRefreshableVersion="3" useAutoFormatting="1" itemPrintTitles="1" createdVersion="7" indent="0" outline="1" outlineData="1" multipleFieldFilters="0" chartFormat="4">
  <location ref="D4:E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Amount" fld="1" baseField="0" baseItem="0"/>
  </dataFields>
  <formats count="1">
    <format dxfId="267">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Item Category].&amp;[Charg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D9FE42-4B5C-4980-A7A2-B75F58063075}" name="PivotTable1" cacheId="1082" dataOnRows="1" applyNumberFormats="0" applyBorderFormats="0" applyFontFormats="0" applyPatternFormats="0" applyAlignmentFormats="0" applyWidthHeightFormats="1" dataCaption="Values" tag="11a7963f-fc88-43c7-b03c-173a357e832f" updatedVersion="7" minRefreshableVersion="3" useAutoFormatting="1" itemPrintTitles="1" createdVersion="7" indent="0" outline="1" outlineData="1" multipleFieldFilters="0">
  <location ref="A4:B9"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Sum of Sales Amount" fld="0" baseField="0" baseItem="0"/>
    <dataField name="Sum of Quantity Sold" fld="1" baseField="0" baseItem="0"/>
    <dataField name="Count of Order ID" fld="2" subtotal="count" baseField="0" baseItem="0"/>
    <dataField name="Average of Sales Amount2" fld="4" subtotal="average" baseField="0" baseItem="9"/>
    <dataField name="Distinct Count of Customer Name" fld="3" subtotal="count" baseField="0" baseItem="0">
      <extLst>
        <ext xmlns:x15="http://schemas.microsoft.com/office/spreadsheetml/2010/11/main" uri="{FABC7310-3BB5-11E1-824E-6D434824019B}">
          <x15:dataField isCountDistinct="1"/>
        </ext>
      </extLst>
    </dataField>
  </dataFields>
  <formats count="2">
    <format dxfId="269">
      <pivotArea collapsedLevelsAreSubtotals="1" fieldPosition="0">
        <references count="1">
          <reference field="4294967294" count="1">
            <x v="0"/>
          </reference>
        </references>
      </pivotArea>
    </format>
    <format dxfId="268">
      <pivotArea collapsedLevelsAreSubtotals="1" fieldPosition="0">
        <references count="1">
          <reference field="4294967294" count="1">
            <x v="3"/>
          </reference>
        </references>
      </pivotArea>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Item Category].&amp;[Charg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caption="Count of Customer ID"/>
    <pivotHierarchy dragToData="1" caption="Distinct Count of Customer ID"/>
    <pivotHierarchy dragToData="1"/>
    <pivotHierarchy dragToData="1" caption="Distinct Count of Customer Name"/>
    <pivotHierarchy dragToData="1"/>
    <pivotHierarchy dragToData="1" caption="Average of Cost Amount"/>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D50338-22F0-41D5-B11B-291E1795A314}" autoFormatId="16" applyNumberFormats="0" applyBorderFormats="0" applyFontFormats="0" applyPatternFormats="0" applyAlignmentFormats="0" applyWidthHeightFormats="0">
  <queryTableRefresh nextId="18">
    <queryTableFields count="17">
      <queryTableField id="1" name="Order ID" tableColumnId="1"/>
      <queryTableField id="2" name="Order Date" tableColumnId="2"/>
      <queryTableField id="3" name="Year" tableColumnId="3"/>
      <queryTableField id="4" name="Customer ID" tableColumnId="4"/>
      <queryTableField id="5" name="Customer Name" tableColumnId="5"/>
      <queryTableField id="6" name="Product ID" tableColumnId="6"/>
      <queryTableField id="7" name="Product Name" tableColumnId="7"/>
      <queryTableField id="8" name="Item Category" tableColumnId="8"/>
      <queryTableField id="9" name="Region" tableColumnId="9"/>
      <queryTableField id="10" name="Quantity Sold" tableColumnId="10"/>
      <queryTableField id="11" name="Unit Price" tableColumnId="11"/>
      <queryTableField id="12" name="Cost Amount" tableColumnId="12"/>
      <queryTableField id="13" name="Sales Amount" tableColumnId="13"/>
      <queryTableField id="14" name="Profit" tableColumnId="14"/>
      <queryTableField id="15" name="Quarter" tableColumnId="15"/>
      <queryTableField id="16" name="Month" tableColumnId="16"/>
      <queryTableField id="17" name="Month No"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1BC4389-417A-4BF2-9FA4-422D16F18522}" sourceName="[Table1].[Month]">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s>
  <data>
    <olap pivotCacheId="1531425658">
      <levels count="2">
        <level uniqueName="[Table1].[Month].[(All)]" sourceCaption="(All)" count="0"/>
        <level uniqueName="[Table1].[Month].[Month]" sourceCaption="Month" count="13">
          <ranges>
            <range startItem="0">
              <i n="[Table1].[Month].&amp;" c="(blank)"/>
              <i n="[Table1].[Month].&amp;[Jan]" c="Jan"/>
              <i n="[Table1].[Month].&amp;[Feb]" c="Feb"/>
              <i n="[Table1].[Month].&amp;[Mar]" c="Mar"/>
              <i n="[Table1].[Month].&amp;[Apr]" c="Apr"/>
              <i n="[Table1].[Month].&amp;[May]" c="May"/>
              <i n="[Table1].[Month].&amp;[Jun]" c="Jun"/>
              <i n="[Table1].[Month].&amp;[Jul]" c="Jul"/>
              <i n="[Table1].[Month].&amp;[Aug]" c="Aug"/>
              <i n="[Table1].[Month].&amp;[Sep]" c="Sep"/>
              <i n="[Table1].[Month].&amp;[Oct]" c="Oct"/>
              <i n="[Table1].[Month].&amp;[Nov]" c="Nov"/>
              <i n="[Table1].[Month].&amp;[Dec]" c="Dec"/>
            </range>
          </ranges>
        </level>
      </levels>
      <selections count="1">
        <selection n="[Table1].[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C4B8F710-3E2B-45CB-B66E-1418914C58F4}" sourceName="[Table1].[Item Categor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olap pivotCacheId="1531425658">
      <levels count="2">
        <level uniqueName="[Table1].[Item Category].[(All)]" sourceCaption="(All)" count="0"/>
        <level uniqueName="[Table1].[Item Category].[Item Category]" sourceCaption="Item Category" count="7">
          <ranges>
            <range startItem="0">
              <i n="[Table1].[Item Category].&amp;[Backpack]" c="Backpack"/>
              <i n="[Table1].[Item Category].&amp;[Chair]" c="Chair"/>
              <i n="[Table1].[Item Category].&amp;[Charger]" c="Charger"/>
              <i n="[Table1].[Item Category].&amp;[Desk Lamp]" c="Desk Lamp"/>
              <i n="[Table1].[Item Category].&amp;[Notebook]" c="Notebook"/>
              <i n="[Table1].[Item Category].&amp;[Pen Set]" c="Pen Set"/>
              <i n="[Table1].[Item Category].&amp;[USB Drive]" c="USB Drive"/>
            </range>
          </ranges>
        </level>
      </levels>
      <selections count="1">
        <selection n="[Table1].[Item Category].&amp;[Charger]"/>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E49BAC-47E7-42B2-8B63-FDE831705C0C}" sourceName="[Table1].[Reg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olap pivotCacheId="1531425658">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9872B80-73E9-4B38-A3AE-10B6384FF4C1}" cache="Slicer_Month" caption="Month" columnCount="6" showCaption="0" level="1" style="SlicerStyleDark6" rowHeight="241300"/>
  <slicer name="Item Category" xr10:uid="{8353A2DC-FFBD-4148-82A5-C0D061E6CFFE}" cache="Slicer_Item_Category" caption="Item Category" columnCount="4" level="1" style="SlicerStyleDark6" rowHeight="241300"/>
  <slicer name="Region" xr10:uid="{FD71C92E-5A84-454E-8AE0-417BC7B12CA1}" cache="Slicer_Region" caption="Region" columnCount="4"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F854B-9591-483A-BA9D-6BBD788423D2}" name="Table1" displayName="Table1" ref="A3:Q503" tableType="queryTable" totalsRowShown="0">
  <autoFilter ref="A3:Q503" xr:uid="{D76F854B-9591-483A-BA9D-6BBD788423D2}">
    <filterColumn colId="15">
      <customFilters>
        <customFilter operator="notEqual" val=" "/>
      </customFilters>
    </filterColumn>
  </autoFilter>
  <tableColumns count="17">
    <tableColumn id="1" xr3:uid="{21ECEFAA-D270-4527-BBCC-2DF376C2EA3A}" uniqueName="1" name="Order ID" queryTableFieldId="1" dataDxfId="259"/>
    <tableColumn id="2" xr3:uid="{60C2BB56-4632-420C-8FAC-4340EE607727}" uniqueName="2" name="Order Date" queryTableFieldId="2" dataDxfId="258"/>
    <tableColumn id="3" xr3:uid="{CF7A11EB-13A6-43F5-89E1-7975D0ACAB40}" uniqueName="3" name="Year" queryTableFieldId="3"/>
    <tableColumn id="4" xr3:uid="{9A189CF8-26F7-4088-915A-DF357B00C5A2}" uniqueName="4" name="Customer ID" queryTableFieldId="4" dataDxfId="257"/>
    <tableColumn id="5" xr3:uid="{F5442152-B2F7-43FD-A61D-8807339BFBE2}" uniqueName="5" name="Customer Name" queryTableFieldId="5" dataDxfId="256"/>
    <tableColumn id="6" xr3:uid="{C77F59F7-2564-4ABD-9E2D-0AA14CC9D506}" uniqueName="6" name="Product ID" queryTableFieldId="6" dataDxfId="255"/>
    <tableColumn id="7" xr3:uid="{A408E8CC-A2C4-4984-B4BC-A368EBDE0835}" uniqueName="7" name="Product Name" queryTableFieldId="7" dataDxfId="254"/>
    <tableColumn id="8" xr3:uid="{15F3AC7F-AF26-4C68-8698-E36AB006E082}" uniqueName="8" name="Item Category" queryTableFieldId="8" dataDxfId="253"/>
    <tableColumn id="9" xr3:uid="{D776753B-68CD-4470-9954-8795012435AB}" uniqueName="9" name="Region" queryTableFieldId="9" dataDxfId="252"/>
    <tableColumn id="10" xr3:uid="{488BA709-2866-490A-9436-AFB6AC9579A6}" uniqueName="10" name="Quantity Sold" queryTableFieldId="10"/>
    <tableColumn id="11" xr3:uid="{9940BF9D-3CBE-453B-928C-425CD3AE3D38}" uniqueName="11" name="Unit Price" queryTableFieldId="11"/>
    <tableColumn id="12" xr3:uid="{7490439E-55AA-4CE6-A82B-A405166956A9}" uniqueName="12" name="Cost Amount" queryTableFieldId="12"/>
    <tableColumn id="13" xr3:uid="{498DF91A-B098-4F4F-8787-6A64E9810DBF}" uniqueName="13" name="Sales Amount" queryTableFieldId="13"/>
    <tableColumn id="14" xr3:uid="{58900F58-2B2D-4DE4-9D9C-47BC6CC9BFBA}" uniqueName="14" name="Profit" queryTableFieldId="14"/>
    <tableColumn id="15" xr3:uid="{F3B2E5EC-DF84-4D30-ADA3-3BBF523C27C9}" uniqueName="15" name="Quarter" queryTableFieldId="15" dataDxfId="251"/>
    <tableColumn id="16" xr3:uid="{AE6EFD1B-19DC-4C04-8A4E-EE37489BF53D}" uniqueName="16" name="Month" queryTableFieldId="16" dataDxfId="250"/>
    <tableColumn id="17" xr3:uid="{D759DF86-2100-4D6D-AC9C-0EA94AEB8463}" uniqueName="17" name="Month No"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E9E92-685C-46B1-854E-9BCF20EA12AD}">
  <dimension ref="A3:N35"/>
  <sheetViews>
    <sheetView workbookViewId="0"/>
  </sheetViews>
  <sheetFormatPr defaultRowHeight="15" x14ac:dyDescent="0.25"/>
  <cols>
    <col min="1" max="1" width="13.140625" bestFit="1" customWidth="1"/>
    <col min="2" max="2" width="19.85546875" bestFit="1" customWidth="1"/>
    <col min="3" max="3" width="3.42578125" customWidth="1"/>
    <col min="4" max="4" width="13.140625" bestFit="1" customWidth="1"/>
    <col min="5" max="5" width="16.5703125" bestFit="1" customWidth="1"/>
    <col min="6" max="6" width="3.42578125" customWidth="1"/>
    <col min="7" max="7" width="13.140625" bestFit="1" customWidth="1"/>
    <col min="8" max="8" width="20" bestFit="1" customWidth="1"/>
    <col min="9" max="9" width="3.42578125" customWidth="1"/>
    <col min="10" max="10" width="13.140625" bestFit="1" customWidth="1"/>
    <col min="11" max="11" width="20" bestFit="1" customWidth="1"/>
    <col min="12" max="12" width="19.28515625" bestFit="1" customWidth="1"/>
    <col min="13" max="13" width="13.140625" bestFit="1" customWidth="1"/>
    <col min="14" max="14" width="20" bestFit="1" customWidth="1"/>
    <col min="15" max="17" width="11.42578125" bestFit="1" customWidth="1"/>
    <col min="18" max="18" width="10.42578125" bestFit="1" customWidth="1"/>
    <col min="19" max="22" width="8" bestFit="1" customWidth="1"/>
    <col min="23" max="23" width="7" bestFit="1" customWidth="1"/>
    <col min="24" max="28" width="10.28515625" bestFit="1" customWidth="1"/>
    <col min="29" max="30" width="9.28515625" bestFit="1" customWidth="1"/>
    <col min="31" max="31" width="11.85546875" bestFit="1" customWidth="1"/>
    <col min="32" max="32" width="12.85546875" bestFit="1" customWidth="1"/>
    <col min="33" max="33" width="11.85546875" bestFit="1" customWidth="1"/>
    <col min="34" max="39" width="12.85546875" bestFit="1" customWidth="1"/>
    <col min="40" max="45" width="12.28515625" bestFit="1" customWidth="1"/>
    <col min="46" max="47" width="10.140625" bestFit="1" customWidth="1"/>
    <col min="49" max="49" width="10.140625" bestFit="1" customWidth="1"/>
    <col min="51" max="59" width="12.140625" bestFit="1" customWidth="1"/>
    <col min="60" max="60" width="11.140625" bestFit="1" customWidth="1"/>
    <col min="61" max="61" width="11.28515625" bestFit="1" customWidth="1"/>
  </cols>
  <sheetData>
    <row r="3" spans="1:14" x14ac:dyDescent="0.25">
      <c r="A3" s="7" t="s">
        <v>957</v>
      </c>
      <c r="D3" s="7" t="s">
        <v>966</v>
      </c>
      <c r="G3" s="7" t="s">
        <v>967</v>
      </c>
      <c r="J3" s="7" t="s">
        <v>969</v>
      </c>
      <c r="M3" s="7" t="s">
        <v>970</v>
      </c>
    </row>
    <row r="4" spans="1:14" x14ac:dyDescent="0.25">
      <c r="A4" s="3" t="s">
        <v>954</v>
      </c>
      <c r="D4" s="3" t="s">
        <v>963</v>
      </c>
      <c r="E4" t="s">
        <v>950</v>
      </c>
      <c r="G4" s="3" t="s">
        <v>963</v>
      </c>
      <c r="H4" t="s">
        <v>950</v>
      </c>
      <c r="J4" s="3" t="s">
        <v>963</v>
      </c>
      <c r="K4" t="s">
        <v>968</v>
      </c>
      <c r="M4" s="3" t="s">
        <v>963</v>
      </c>
      <c r="N4" t="s">
        <v>950</v>
      </c>
    </row>
    <row r="5" spans="1:14" x14ac:dyDescent="0.25">
      <c r="A5" s="4" t="s">
        <v>950</v>
      </c>
      <c r="B5" s="5">
        <v>146122.10999999996</v>
      </c>
      <c r="D5" s="4" t="s">
        <v>33</v>
      </c>
      <c r="E5" s="5">
        <v>25254.720000000001</v>
      </c>
      <c r="G5" s="4" t="s">
        <v>60</v>
      </c>
      <c r="H5" s="5">
        <v>48292.539999999994</v>
      </c>
      <c r="J5" s="4" t="s">
        <v>60</v>
      </c>
      <c r="K5" s="5">
        <v>16154.359999999997</v>
      </c>
      <c r="M5" s="4" t="s">
        <v>119</v>
      </c>
      <c r="N5" s="5">
        <v>6960.42</v>
      </c>
    </row>
    <row r="6" spans="1:14" x14ac:dyDescent="0.25">
      <c r="A6" s="4" t="s">
        <v>951</v>
      </c>
      <c r="B6" s="1">
        <v>510</v>
      </c>
      <c r="D6" s="4" t="s">
        <v>84</v>
      </c>
      <c r="E6" s="5">
        <v>7991.1799999999994</v>
      </c>
      <c r="G6" s="4" t="s">
        <v>31</v>
      </c>
      <c r="H6" s="5">
        <v>44522.110000000008</v>
      </c>
      <c r="J6" s="4" t="s">
        <v>31</v>
      </c>
      <c r="K6" s="5">
        <v>14497.82</v>
      </c>
      <c r="M6" s="4" t="s">
        <v>130</v>
      </c>
      <c r="N6" s="5">
        <v>12420.41</v>
      </c>
    </row>
    <row r="7" spans="1:14" x14ac:dyDescent="0.25">
      <c r="A7" s="4" t="s">
        <v>952</v>
      </c>
      <c r="B7" s="1">
        <v>48</v>
      </c>
      <c r="D7" s="4" t="s">
        <v>88</v>
      </c>
      <c r="E7" s="5">
        <v>7918.52</v>
      </c>
      <c r="G7" s="4" t="s">
        <v>46</v>
      </c>
      <c r="H7" s="5">
        <v>17848.189999999999</v>
      </c>
      <c r="J7" s="4" t="s">
        <v>46</v>
      </c>
      <c r="K7" s="5">
        <v>7068.0699999999988</v>
      </c>
      <c r="M7" s="4" t="s">
        <v>328</v>
      </c>
      <c r="N7" s="5">
        <v>8812.8000000000011</v>
      </c>
    </row>
    <row r="8" spans="1:14" x14ac:dyDescent="0.25">
      <c r="A8" s="4" t="s">
        <v>953</v>
      </c>
      <c r="B8" s="6">
        <v>3247.157999999999</v>
      </c>
      <c r="D8" s="4" t="s">
        <v>48</v>
      </c>
      <c r="E8" s="5">
        <v>5538.27</v>
      </c>
      <c r="G8" s="4" t="s">
        <v>23</v>
      </c>
      <c r="H8" s="5">
        <v>35459.269999999997</v>
      </c>
      <c r="J8" s="4" t="s">
        <v>23</v>
      </c>
      <c r="K8" s="5">
        <v>12932.730000000001</v>
      </c>
      <c r="M8" s="4" t="s">
        <v>509</v>
      </c>
      <c r="N8" s="5">
        <v>7776.72</v>
      </c>
    </row>
    <row r="9" spans="1:14" x14ac:dyDescent="0.25">
      <c r="A9" s="4" t="s">
        <v>955</v>
      </c>
      <c r="B9" s="1">
        <v>43</v>
      </c>
      <c r="D9" s="4" t="s">
        <v>92</v>
      </c>
      <c r="E9" s="5">
        <v>12290.54</v>
      </c>
      <c r="G9" s="4" t="s">
        <v>965</v>
      </c>
      <c r="H9" s="5">
        <v>146122.10999999996</v>
      </c>
      <c r="J9" s="4" t="s">
        <v>965</v>
      </c>
      <c r="K9" s="5">
        <v>50652.980000000018</v>
      </c>
      <c r="M9" s="4" t="s">
        <v>305</v>
      </c>
      <c r="N9" s="5">
        <v>12146.220000000001</v>
      </c>
    </row>
    <row r="10" spans="1:14" x14ac:dyDescent="0.25">
      <c r="D10" s="4" t="s">
        <v>171</v>
      </c>
      <c r="E10" s="5">
        <v>9507.4599999999991</v>
      </c>
      <c r="M10" s="4" t="s">
        <v>965</v>
      </c>
      <c r="N10" s="5">
        <v>48116.570000000007</v>
      </c>
    </row>
    <row r="11" spans="1:14" x14ac:dyDescent="0.25">
      <c r="A11" s="4" t="s">
        <v>958</v>
      </c>
      <c r="B11" s="5">
        <f>B5</f>
        <v>146122.10999999996</v>
      </c>
      <c r="D11" s="4" t="s">
        <v>25</v>
      </c>
      <c r="E11" s="5">
        <v>11608.16</v>
      </c>
      <c r="G11" s="7" t="s">
        <v>971</v>
      </c>
      <c r="J11" s="7" t="s">
        <v>972</v>
      </c>
    </row>
    <row r="12" spans="1:14" x14ac:dyDescent="0.25">
      <c r="A12" s="4" t="s">
        <v>959</v>
      </c>
      <c r="B12">
        <f>B6</f>
        <v>510</v>
      </c>
      <c r="D12" s="4" t="s">
        <v>101</v>
      </c>
      <c r="E12" s="5">
        <v>9951.0400000000009</v>
      </c>
      <c r="G12" s="3" t="s">
        <v>963</v>
      </c>
      <c r="H12" t="s">
        <v>950</v>
      </c>
      <c r="J12" s="3" t="s">
        <v>963</v>
      </c>
      <c r="K12" t="s">
        <v>950</v>
      </c>
      <c r="L12" t="s">
        <v>956</v>
      </c>
    </row>
    <row r="13" spans="1:14" x14ac:dyDescent="0.25">
      <c r="A13" s="4" t="s">
        <v>960</v>
      </c>
      <c r="B13">
        <f>B7</f>
        <v>48</v>
      </c>
      <c r="D13" s="4" t="s">
        <v>61</v>
      </c>
      <c r="E13" s="5">
        <v>12450.48</v>
      </c>
      <c r="G13" s="4" t="s">
        <v>111</v>
      </c>
      <c r="H13" s="5">
        <v>146122.10999999996</v>
      </c>
      <c r="J13" s="4" t="s">
        <v>111</v>
      </c>
      <c r="K13" s="5">
        <v>146122.10999999996</v>
      </c>
      <c r="L13" s="5">
        <v>95970.76</v>
      </c>
    </row>
    <row r="14" spans="1:14" x14ac:dyDescent="0.25">
      <c r="A14" s="4" t="s">
        <v>961</v>
      </c>
      <c r="B14" s="6">
        <f>B8</f>
        <v>3247.157999999999</v>
      </c>
      <c r="D14" s="4" t="s">
        <v>53</v>
      </c>
      <c r="E14" s="5">
        <v>8163.14</v>
      </c>
      <c r="G14" s="4" t="s">
        <v>965</v>
      </c>
      <c r="H14" s="5">
        <v>146122.10999999996</v>
      </c>
      <c r="J14" s="4" t="s">
        <v>965</v>
      </c>
      <c r="K14" s="5">
        <v>146122.10999999996</v>
      </c>
      <c r="L14" s="5">
        <v>95970.76</v>
      </c>
    </row>
    <row r="15" spans="1:14" x14ac:dyDescent="0.25">
      <c r="A15" s="4" t="s">
        <v>962</v>
      </c>
      <c r="B15">
        <f>B9</f>
        <v>43</v>
      </c>
      <c r="D15" s="4" t="s">
        <v>134</v>
      </c>
      <c r="E15" s="5">
        <v>15244.800000000001</v>
      </c>
    </row>
    <row r="16" spans="1:14" x14ac:dyDescent="0.25">
      <c r="A16" s="7" t="s">
        <v>973</v>
      </c>
      <c r="D16" s="4" t="s">
        <v>67</v>
      </c>
      <c r="E16" s="5">
        <v>20203.8</v>
      </c>
    </row>
    <row r="17" spans="1:5" x14ac:dyDescent="0.25">
      <c r="A17" s="3" t="s">
        <v>963</v>
      </c>
      <c r="B17" t="s">
        <v>951</v>
      </c>
      <c r="D17" s="4" t="s">
        <v>965</v>
      </c>
      <c r="E17" s="1">
        <v>146122.10999999996</v>
      </c>
    </row>
    <row r="18" spans="1:5" x14ac:dyDescent="0.25">
      <c r="A18" s="4" t="s">
        <v>111</v>
      </c>
      <c r="B18" s="1">
        <v>510</v>
      </c>
    </row>
    <row r="19" spans="1:5" x14ac:dyDescent="0.25">
      <c r="A19" s="4" t="s">
        <v>965</v>
      </c>
      <c r="B19" s="1">
        <v>510</v>
      </c>
    </row>
    <row r="20" spans="1:5" x14ac:dyDescent="0.25">
      <c r="D20" s="7" t="s">
        <v>974</v>
      </c>
    </row>
    <row r="21" spans="1:5" x14ac:dyDescent="0.25">
      <c r="D21" s="3" t="s">
        <v>963</v>
      </c>
      <c r="E21" t="s">
        <v>952</v>
      </c>
    </row>
    <row r="22" spans="1:5" x14ac:dyDescent="0.25">
      <c r="D22" s="4" t="s">
        <v>964</v>
      </c>
      <c r="E22" s="1">
        <v>3</v>
      </c>
    </row>
    <row r="23" spans="1:5" x14ac:dyDescent="0.25">
      <c r="D23" s="4" t="s">
        <v>33</v>
      </c>
      <c r="E23" s="1">
        <v>6</v>
      </c>
    </row>
    <row r="24" spans="1:5" x14ac:dyDescent="0.25">
      <c r="D24" s="4" t="s">
        <v>84</v>
      </c>
      <c r="E24" s="1">
        <v>4</v>
      </c>
    </row>
    <row r="25" spans="1:5" x14ac:dyDescent="0.25">
      <c r="D25" s="4" t="s">
        <v>88</v>
      </c>
      <c r="E25" s="1">
        <v>3</v>
      </c>
    </row>
    <row r="26" spans="1:5" x14ac:dyDescent="0.25">
      <c r="D26" s="4" t="s">
        <v>48</v>
      </c>
      <c r="E26" s="1">
        <v>2</v>
      </c>
    </row>
    <row r="27" spans="1:5" x14ac:dyDescent="0.25">
      <c r="D27" s="4" t="s">
        <v>92</v>
      </c>
      <c r="E27" s="1">
        <v>4</v>
      </c>
    </row>
    <row r="28" spans="1:5" x14ac:dyDescent="0.25">
      <c r="D28" s="4" t="s">
        <v>171</v>
      </c>
      <c r="E28" s="1">
        <v>4</v>
      </c>
    </row>
    <row r="29" spans="1:5" x14ac:dyDescent="0.25">
      <c r="D29" s="4" t="s">
        <v>25</v>
      </c>
      <c r="E29" s="1">
        <v>3</v>
      </c>
    </row>
    <row r="30" spans="1:5" x14ac:dyDescent="0.25">
      <c r="D30" s="4" t="s">
        <v>101</v>
      </c>
      <c r="E30" s="1">
        <v>3</v>
      </c>
    </row>
    <row r="31" spans="1:5" x14ac:dyDescent="0.25">
      <c r="D31" s="4" t="s">
        <v>61</v>
      </c>
      <c r="E31" s="1">
        <v>3</v>
      </c>
    </row>
    <row r="32" spans="1:5" x14ac:dyDescent="0.25">
      <c r="D32" s="4" t="s">
        <v>53</v>
      </c>
      <c r="E32" s="1">
        <v>2</v>
      </c>
    </row>
    <row r="33" spans="4:5" x14ac:dyDescent="0.25">
      <c r="D33" s="4" t="s">
        <v>134</v>
      </c>
      <c r="E33" s="1">
        <v>5</v>
      </c>
    </row>
    <row r="34" spans="4:5" x14ac:dyDescent="0.25">
      <c r="D34" s="4" t="s">
        <v>67</v>
      </c>
      <c r="E34" s="1">
        <v>6</v>
      </c>
    </row>
    <row r="35" spans="4:5" x14ac:dyDescent="0.25">
      <c r="D35" s="4" t="s">
        <v>965</v>
      </c>
      <c r="E35" s="1">
        <v>48</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4653-D928-4A77-A6C1-99588EE64B66}">
  <dimension ref="A3:Q503"/>
  <sheetViews>
    <sheetView workbookViewId="0"/>
  </sheetViews>
  <sheetFormatPr defaultRowHeight="15" x14ac:dyDescent="0.25"/>
  <cols>
    <col min="1" max="1" width="10.7109375" bestFit="1" customWidth="1"/>
    <col min="2" max="2" width="13" bestFit="1" customWidth="1"/>
    <col min="3" max="3" width="7.28515625" bestFit="1" customWidth="1"/>
    <col min="4" max="4" width="14.140625" bestFit="1" customWidth="1"/>
    <col min="5" max="5" width="17.7109375" bestFit="1" customWidth="1"/>
    <col min="6" max="6" width="12.42578125" bestFit="1" customWidth="1"/>
    <col min="7" max="7" width="16" bestFit="1" customWidth="1"/>
    <col min="8" max="8" width="15.85546875" bestFit="1" customWidth="1"/>
    <col min="9" max="9" width="9.42578125" bestFit="1" customWidth="1"/>
    <col min="10" max="10" width="15.42578125" bestFit="1" customWidth="1"/>
    <col min="11" max="11" width="12" bestFit="1" customWidth="1"/>
    <col min="12" max="12" width="14.7109375" bestFit="1" customWidth="1"/>
    <col min="13" max="13" width="15.5703125" bestFit="1" customWidth="1"/>
    <col min="14" max="14" width="8.28515625" bestFit="1" customWidth="1"/>
    <col min="15" max="15" width="10.140625" bestFit="1" customWidth="1"/>
    <col min="16" max="16" width="9.28515625" bestFit="1" customWidth="1"/>
    <col min="17" max="17" width="12.28515625" bestFit="1" customWidth="1"/>
  </cols>
  <sheetData>
    <row r="3" spans="1:1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25">
      <c r="A4" s="1" t="s">
        <v>17</v>
      </c>
      <c r="B4" s="2">
        <v>46211</v>
      </c>
      <c r="C4">
        <v>2026</v>
      </c>
      <c r="D4" s="1" t="s">
        <v>18</v>
      </c>
      <c r="E4" s="1" t="s">
        <v>19</v>
      </c>
      <c r="F4" s="1" t="s">
        <v>20</v>
      </c>
      <c r="G4" s="1" t="s">
        <v>21</v>
      </c>
      <c r="H4" s="1" t="s">
        <v>22</v>
      </c>
      <c r="I4" s="1" t="s">
        <v>23</v>
      </c>
      <c r="J4">
        <v>9</v>
      </c>
      <c r="K4">
        <v>247.66</v>
      </c>
      <c r="L4">
        <v>1320.15</v>
      </c>
      <c r="M4">
        <v>2228.94</v>
      </c>
      <c r="N4">
        <v>908.79</v>
      </c>
      <c r="O4" s="1" t="s">
        <v>24</v>
      </c>
      <c r="P4" s="1" t="s">
        <v>25</v>
      </c>
      <c r="Q4">
        <v>7</v>
      </c>
    </row>
    <row r="5" spans="1:17" x14ac:dyDescent="0.25">
      <c r="A5" s="1" t="s">
        <v>26</v>
      </c>
      <c r="B5" s="2">
        <v>46025</v>
      </c>
      <c r="C5">
        <v>2026</v>
      </c>
      <c r="D5" s="1" t="s">
        <v>27</v>
      </c>
      <c r="E5" s="1" t="s">
        <v>28</v>
      </c>
      <c r="F5" s="1" t="s">
        <v>29</v>
      </c>
      <c r="G5" s="1" t="s">
        <v>30</v>
      </c>
      <c r="H5" s="1" t="s">
        <v>22</v>
      </c>
      <c r="I5" s="1" t="s">
        <v>31</v>
      </c>
      <c r="J5">
        <v>15</v>
      </c>
      <c r="K5">
        <v>474.38</v>
      </c>
      <c r="L5">
        <v>5478.96</v>
      </c>
      <c r="M5">
        <v>7115.7</v>
      </c>
      <c r="N5">
        <v>1636.7399999999998</v>
      </c>
      <c r="O5" s="1" t="s">
        <v>32</v>
      </c>
      <c r="P5" s="1" t="s">
        <v>33</v>
      </c>
      <c r="Q5">
        <v>1</v>
      </c>
    </row>
    <row r="6" spans="1:17" x14ac:dyDescent="0.25">
      <c r="A6" s="1" t="s">
        <v>34</v>
      </c>
      <c r="B6" s="2">
        <v>46231</v>
      </c>
      <c r="C6">
        <v>2026</v>
      </c>
      <c r="D6" s="1" t="s">
        <v>35</v>
      </c>
      <c r="E6" s="1" t="s">
        <v>36</v>
      </c>
      <c r="F6" s="1" t="s">
        <v>37</v>
      </c>
      <c r="G6" s="1" t="s">
        <v>38</v>
      </c>
      <c r="H6" s="1" t="s">
        <v>39</v>
      </c>
      <c r="I6" s="1" t="s">
        <v>23</v>
      </c>
      <c r="J6">
        <v>19</v>
      </c>
      <c r="K6">
        <v>483</v>
      </c>
      <c r="L6">
        <v>5850.31</v>
      </c>
      <c r="M6">
        <v>9177</v>
      </c>
      <c r="N6">
        <v>3326.6899999999996</v>
      </c>
      <c r="O6" s="1" t="s">
        <v>24</v>
      </c>
      <c r="P6" s="1" t="s">
        <v>25</v>
      </c>
      <c r="Q6">
        <v>7</v>
      </c>
    </row>
    <row r="7" spans="1:17" x14ac:dyDescent="0.25">
      <c r="A7" s="1" t="s">
        <v>40</v>
      </c>
      <c r="B7" s="2">
        <v>46133</v>
      </c>
      <c r="C7">
        <v>2026</v>
      </c>
      <c r="D7" s="1" t="s">
        <v>41</v>
      </c>
      <c r="E7" s="1" t="s">
        <v>42</v>
      </c>
      <c r="F7" s="1" t="s">
        <v>43</v>
      </c>
      <c r="G7" s="1" t="s">
        <v>44</v>
      </c>
      <c r="H7" s="1" t="s">
        <v>45</v>
      </c>
      <c r="I7" s="1" t="s">
        <v>46</v>
      </c>
      <c r="J7">
        <v>17</v>
      </c>
      <c r="K7">
        <v>311.86</v>
      </c>
      <c r="L7">
        <v>3119.49</v>
      </c>
      <c r="M7">
        <v>5301.62</v>
      </c>
      <c r="N7">
        <v>2182.13</v>
      </c>
      <c r="O7" s="1" t="s">
        <v>47</v>
      </c>
      <c r="P7" s="1" t="s">
        <v>48</v>
      </c>
      <c r="Q7">
        <v>4</v>
      </c>
    </row>
    <row r="8" spans="1:17" x14ac:dyDescent="0.25">
      <c r="A8" s="1" t="s">
        <v>49</v>
      </c>
      <c r="B8" s="2">
        <v>46296</v>
      </c>
      <c r="C8">
        <v>2026</v>
      </c>
      <c r="D8" s="1" t="s">
        <v>50</v>
      </c>
      <c r="E8" s="1" t="s">
        <v>51</v>
      </c>
      <c r="F8" s="1" t="s">
        <v>20</v>
      </c>
      <c r="G8" s="1" t="s">
        <v>21</v>
      </c>
      <c r="H8" s="1" t="s">
        <v>22</v>
      </c>
      <c r="I8" s="1" t="s">
        <v>46</v>
      </c>
      <c r="J8">
        <v>15</v>
      </c>
      <c r="K8">
        <v>350.77</v>
      </c>
      <c r="L8">
        <v>3038.92</v>
      </c>
      <c r="M8">
        <v>5261.5499999999993</v>
      </c>
      <c r="N8">
        <v>2222.6299999999992</v>
      </c>
      <c r="O8" s="1" t="s">
        <v>52</v>
      </c>
      <c r="P8" s="1" t="s">
        <v>53</v>
      </c>
      <c r="Q8">
        <v>10</v>
      </c>
    </row>
    <row r="9" spans="1:17" x14ac:dyDescent="0.25">
      <c r="A9" s="1" t="s">
        <v>54</v>
      </c>
      <c r="B9" s="2">
        <v>46286</v>
      </c>
      <c r="C9">
        <v>2026</v>
      </c>
      <c r="D9" s="1" t="s">
        <v>55</v>
      </c>
      <c r="E9" s="1" t="s">
        <v>56</v>
      </c>
      <c r="F9" s="1" t="s">
        <v>57</v>
      </c>
      <c r="G9" s="1" t="s">
        <v>58</v>
      </c>
      <c r="H9" s="1" t="s">
        <v>59</v>
      </c>
      <c r="I9" s="1" t="s">
        <v>60</v>
      </c>
      <c r="J9">
        <v>2</v>
      </c>
      <c r="K9">
        <v>310.92</v>
      </c>
      <c r="L9">
        <v>455.11</v>
      </c>
      <c r="M9">
        <v>621.84</v>
      </c>
      <c r="N9">
        <v>166.73000000000002</v>
      </c>
      <c r="O9" s="1" t="s">
        <v>24</v>
      </c>
      <c r="P9" s="1" t="s">
        <v>61</v>
      </c>
      <c r="Q9">
        <v>9</v>
      </c>
    </row>
    <row r="10" spans="1:17" x14ac:dyDescent="0.25">
      <c r="A10" s="1" t="s">
        <v>62</v>
      </c>
      <c r="B10" s="2">
        <v>46363</v>
      </c>
      <c r="C10">
        <v>2026</v>
      </c>
      <c r="D10" s="1" t="s">
        <v>63</v>
      </c>
      <c r="E10" s="1" t="s">
        <v>64</v>
      </c>
      <c r="F10" s="1" t="s">
        <v>65</v>
      </c>
      <c r="G10" s="1" t="s">
        <v>66</v>
      </c>
      <c r="H10" s="1" t="s">
        <v>59</v>
      </c>
      <c r="I10" s="1" t="s">
        <v>31</v>
      </c>
      <c r="J10">
        <v>13</v>
      </c>
      <c r="K10">
        <v>35.79</v>
      </c>
      <c r="L10">
        <v>321.38</v>
      </c>
      <c r="M10">
        <v>465.27</v>
      </c>
      <c r="N10">
        <v>143.88999999999999</v>
      </c>
      <c r="O10" s="1" t="s">
        <v>52</v>
      </c>
      <c r="P10" s="1" t="s">
        <v>67</v>
      </c>
      <c r="Q10">
        <v>12</v>
      </c>
    </row>
    <row r="11" spans="1:17" x14ac:dyDescent="0.25">
      <c r="A11" s="1" t="s">
        <v>68</v>
      </c>
      <c r="B11" s="2">
        <v>46027</v>
      </c>
      <c r="C11">
        <v>2026</v>
      </c>
      <c r="D11" s="1" t="s">
        <v>69</v>
      </c>
      <c r="E11" s="1" t="s">
        <v>70</v>
      </c>
      <c r="F11" s="1" t="s">
        <v>71</v>
      </c>
      <c r="G11" s="1" t="s">
        <v>72</v>
      </c>
      <c r="H11" s="1" t="s">
        <v>22</v>
      </c>
      <c r="I11" s="1" t="s">
        <v>60</v>
      </c>
      <c r="J11">
        <v>7</v>
      </c>
      <c r="K11">
        <v>378.96</v>
      </c>
      <c r="L11">
        <v>1807.54</v>
      </c>
      <c r="M11">
        <v>2652.72</v>
      </c>
      <c r="N11">
        <v>845.17999999999984</v>
      </c>
      <c r="O11" s="1" t="s">
        <v>32</v>
      </c>
      <c r="P11" s="1" t="s">
        <v>33</v>
      </c>
      <c r="Q11">
        <v>1</v>
      </c>
    </row>
    <row r="12" spans="1:17" x14ac:dyDescent="0.25">
      <c r="A12" s="1" t="s">
        <v>73</v>
      </c>
      <c r="B12" s="2">
        <v>46024</v>
      </c>
      <c r="C12">
        <v>2026</v>
      </c>
      <c r="D12" s="1" t="s">
        <v>74</v>
      </c>
      <c r="E12" s="1" t="s">
        <v>75</v>
      </c>
      <c r="F12" s="1" t="s">
        <v>76</v>
      </c>
      <c r="G12" s="1" t="s">
        <v>77</v>
      </c>
      <c r="H12" s="1" t="s">
        <v>78</v>
      </c>
      <c r="I12" s="1" t="s">
        <v>31</v>
      </c>
      <c r="J12">
        <v>2</v>
      </c>
      <c r="K12">
        <v>73.33</v>
      </c>
      <c r="L12">
        <v>119.22</v>
      </c>
      <c r="M12">
        <v>146.66</v>
      </c>
      <c r="N12">
        <v>27.439999999999998</v>
      </c>
      <c r="O12" s="1" t="s">
        <v>32</v>
      </c>
      <c r="P12" s="1" t="s">
        <v>33</v>
      </c>
      <c r="Q12">
        <v>1</v>
      </c>
    </row>
    <row r="13" spans="1:17" x14ac:dyDescent="0.25">
      <c r="A13" s="1" t="s">
        <v>79</v>
      </c>
      <c r="B13" s="2">
        <v>46063</v>
      </c>
      <c r="C13">
        <v>2026</v>
      </c>
      <c r="D13" s="1" t="s">
        <v>80</v>
      </c>
      <c r="E13" s="1" t="s">
        <v>81</v>
      </c>
      <c r="F13" s="1" t="s">
        <v>82</v>
      </c>
      <c r="G13" s="1" t="s">
        <v>83</v>
      </c>
      <c r="H13" s="1" t="s">
        <v>45</v>
      </c>
      <c r="I13" s="1" t="s">
        <v>60</v>
      </c>
      <c r="J13">
        <v>4</v>
      </c>
      <c r="K13">
        <v>358.32</v>
      </c>
      <c r="L13">
        <v>1035.5899999999999</v>
      </c>
      <c r="M13">
        <v>1433.28</v>
      </c>
      <c r="N13">
        <v>397.69000000000005</v>
      </c>
      <c r="O13" s="1" t="s">
        <v>32</v>
      </c>
      <c r="P13" s="1" t="s">
        <v>84</v>
      </c>
      <c r="Q13">
        <v>2</v>
      </c>
    </row>
    <row r="14" spans="1:17" x14ac:dyDescent="0.25">
      <c r="A14" s="1" t="s">
        <v>85</v>
      </c>
      <c r="B14" s="2">
        <v>46099</v>
      </c>
      <c r="C14">
        <v>2026</v>
      </c>
      <c r="D14" s="1" t="s">
        <v>86</v>
      </c>
      <c r="E14" s="1" t="s">
        <v>87</v>
      </c>
      <c r="F14" s="1" t="s">
        <v>37</v>
      </c>
      <c r="G14" s="1" t="s">
        <v>38</v>
      </c>
      <c r="H14" s="1" t="s">
        <v>39</v>
      </c>
      <c r="I14" s="1" t="s">
        <v>23</v>
      </c>
      <c r="J14">
        <v>16</v>
      </c>
      <c r="K14">
        <v>330.33</v>
      </c>
      <c r="L14">
        <v>3555.02</v>
      </c>
      <c r="M14">
        <v>5285.28</v>
      </c>
      <c r="N14">
        <v>1730.2599999999998</v>
      </c>
      <c r="O14" s="1" t="s">
        <v>32</v>
      </c>
      <c r="P14" s="1" t="s">
        <v>88</v>
      </c>
      <c r="Q14">
        <v>3</v>
      </c>
    </row>
    <row r="15" spans="1:17" x14ac:dyDescent="0.25">
      <c r="A15" s="1" t="s">
        <v>89</v>
      </c>
      <c r="B15" s="2">
        <v>46160</v>
      </c>
      <c r="C15">
        <v>2026</v>
      </c>
      <c r="D15" s="1" t="s">
        <v>86</v>
      </c>
      <c r="E15" s="1" t="s">
        <v>81</v>
      </c>
      <c r="F15" s="1" t="s">
        <v>90</v>
      </c>
      <c r="G15" s="1" t="s">
        <v>91</v>
      </c>
      <c r="H15" s="1" t="s">
        <v>22</v>
      </c>
      <c r="I15" s="1" t="s">
        <v>60</v>
      </c>
      <c r="J15">
        <v>19</v>
      </c>
      <c r="K15">
        <v>271.2</v>
      </c>
      <c r="L15">
        <v>3785.15</v>
      </c>
      <c r="M15">
        <v>5152.8</v>
      </c>
      <c r="N15">
        <v>1367.65</v>
      </c>
      <c r="O15" s="1" t="s">
        <v>47</v>
      </c>
      <c r="P15" s="1" t="s">
        <v>92</v>
      </c>
      <c r="Q15">
        <v>5</v>
      </c>
    </row>
    <row r="16" spans="1:17" x14ac:dyDescent="0.25">
      <c r="A16" s="1" t="s">
        <v>93</v>
      </c>
      <c r="B16" s="2">
        <v>46147</v>
      </c>
      <c r="C16">
        <v>2026</v>
      </c>
      <c r="D16" s="1" t="s">
        <v>94</v>
      </c>
      <c r="E16" s="1" t="s">
        <v>95</v>
      </c>
      <c r="F16" s="1" t="s">
        <v>96</v>
      </c>
      <c r="G16" s="1" t="s">
        <v>97</v>
      </c>
      <c r="H16" s="1" t="s">
        <v>39</v>
      </c>
      <c r="I16" s="1" t="s">
        <v>23</v>
      </c>
      <c r="J16">
        <v>11</v>
      </c>
      <c r="K16">
        <v>267.58</v>
      </c>
      <c r="L16">
        <v>1629.15</v>
      </c>
      <c r="M16">
        <v>2943.3799999999997</v>
      </c>
      <c r="N16">
        <v>1314.2299999999996</v>
      </c>
      <c r="O16" s="1" t="s">
        <v>47</v>
      </c>
      <c r="P16" s="1" t="s">
        <v>92</v>
      </c>
      <c r="Q16">
        <v>5</v>
      </c>
    </row>
    <row r="17" spans="1:17" x14ac:dyDescent="0.25">
      <c r="A17" s="1" t="s">
        <v>98</v>
      </c>
      <c r="B17" s="2">
        <v>46255</v>
      </c>
      <c r="C17">
        <v>2026</v>
      </c>
      <c r="D17" s="1" t="s">
        <v>99</v>
      </c>
      <c r="E17" s="1" t="s">
        <v>100</v>
      </c>
      <c r="F17" s="1" t="s">
        <v>57</v>
      </c>
      <c r="G17" s="1" t="s">
        <v>58</v>
      </c>
      <c r="H17" s="1" t="s">
        <v>59</v>
      </c>
      <c r="I17" s="1" t="s">
        <v>60</v>
      </c>
      <c r="J17">
        <v>11</v>
      </c>
      <c r="K17">
        <v>63.79</v>
      </c>
      <c r="L17">
        <v>545.28</v>
      </c>
      <c r="M17">
        <v>701.68999999999994</v>
      </c>
      <c r="N17">
        <v>156.40999999999997</v>
      </c>
      <c r="O17" s="1" t="s">
        <v>24</v>
      </c>
      <c r="P17" s="1" t="s">
        <v>101</v>
      </c>
      <c r="Q17">
        <v>8</v>
      </c>
    </row>
    <row r="18" spans="1:17" x14ac:dyDescent="0.25">
      <c r="A18" s="1" t="s">
        <v>102</v>
      </c>
      <c r="B18" s="2">
        <v>46222</v>
      </c>
      <c r="C18">
        <v>2026</v>
      </c>
      <c r="D18" s="1" t="s">
        <v>103</v>
      </c>
      <c r="E18" s="1" t="s">
        <v>104</v>
      </c>
      <c r="F18" s="1" t="s">
        <v>105</v>
      </c>
      <c r="G18" s="1" t="s">
        <v>106</v>
      </c>
      <c r="H18" s="1" t="s">
        <v>78</v>
      </c>
      <c r="I18" s="1" t="s">
        <v>23</v>
      </c>
      <c r="J18">
        <v>13</v>
      </c>
      <c r="K18">
        <v>493.23</v>
      </c>
      <c r="L18">
        <v>4677.54</v>
      </c>
      <c r="M18">
        <v>6411.99</v>
      </c>
      <c r="N18">
        <v>1734.4499999999998</v>
      </c>
      <c r="O18" s="1" t="s">
        <v>24</v>
      </c>
      <c r="P18" s="1" t="s">
        <v>25</v>
      </c>
      <c r="Q18">
        <v>7</v>
      </c>
    </row>
    <row r="19" spans="1:17" x14ac:dyDescent="0.25">
      <c r="A19" s="1" t="s">
        <v>107</v>
      </c>
      <c r="B19" s="2">
        <v>46276</v>
      </c>
      <c r="C19">
        <v>2026</v>
      </c>
      <c r="D19" s="1" t="s">
        <v>74</v>
      </c>
      <c r="E19" s="1" t="s">
        <v>108</v>
      </c>
      <c r="F19" s="1" t="s">
        <v>109</v>
      </c>
      <c r="G19" s="1" t="s">
        <v>110</v>
      </c>
      <c r="H19" s="1" t="s">
        <v>111</v>
      </c>
      <c r="I19" s="1" t="s">
        <v>23</v>
      </c>
      <c r="J19">
        <v>12</v>
      </c>
      <c r="K19">
        <v>356.59</v>
      </c>
      <c r="L19">
        <v>2680.36</v>
      </c>
      <c r="M19">
        <v>4279.08</v>
      </c>
      <c r="N19">
        <v>1598.7199999999998</v>
      </c>
      <c r="O19" s="1" t="s">
        <v>24</v>
      </c>
      <c r="P19" s="1" t="s">
        <v>61</v>
      </c>
      <c r="Q19">
        <v>9</v>
      </c>
    </row>
    <row r="20" spans="1:17" x14ac:dyDescent="0.25">
      <c r="A20" s="1" t="s">
        <v>112</v>
      </c>
      <c r="B20" s="2">
        <v>46085</v>
      </c>
      <c r="C20">
        <v>2026</v>
      </c>
      <c r="D20" s="1" t="s">
        <v>113</v>
      </c>
      <c r="E20" s="1" t="s">
        <v>114</v>
      </c>
      <c r="F20" s="1" t="s">
        <v>115</v>
      </c>
      <c r="G20" s="1" t="s">
        <v>116</v>
      </c>
      <c r="H20" s="1" t="s">
        <v>22</v>
      </c>
      <c r="I20" s="1" t="s">
        <v>60</v>
      </c>
      <c r="J20">
        <v>17</v>
      </c>
      <c r="K20">
        <v>206.03</v>
      </c>
      <c r="L20">
        <v>2472.84</v>
      </c>
      <c r="M20">
        <v>3502.51</v>
      </c>
      <c r="N20">
        <v>1029.67</v>
      </c>
      <c r="O20" s="1" t="s">
        <v>32</v>
      </c>
      <c r="P20" s="1" t="s">
        <v>88</v>
      </c>
      <c r="Q20">
        <v>3</v>
      </c>
    </row>
    <row r="21" spans="1:17" x14ac:dyDescent="0.25">
      <c r="A21" s="1" t="s">
        <v>117</v>
      </c>
      <c r="B21" s="2">
        <v>46025</v>
      </c>
      <c r="C21">
        <v>2026</v>
      </c>
      <c r="D21" s="1" t="s">
        <v>118</v>
      </c>
      <c r="E21" s="1" t="s">
        <v>119</v>
      </c>
      <c r="F21" s="1" t="s">
        <v>120</v>
      </c>
      <c r="G21" s="1" t="s">
        <v>121</v>
      </c>
      <c r="H21" s="1" t="s">
        <v>39</v>
      </c>
      <c r="I21" s="1" t="s">
        <v>31</v>
      </c>
      <c r="J21">
        <v>8</v>
      </c>
      <c r="K21">
        <v>474.76</v>
      </c>
      <c r="L21">
        <v>2502.94</v>
      </c>
      <c r="M21">
        <v>3798.08</v>
      </c>
      <c r="N21">
        <v>1295.1399999999999</v>
      </c>
      <c r="O21" s="1" t="s">
        <v>32</v>
      </c>
      <c r="P21" s="1" t="s">
        <v>33</v>
      </c>
      <c r="Q21">
        <v>1</v>
      </c>
    </row>
    <row r="22" spans="1:17" x14ac:dyDescent="0.25">
      <c r="A22" s="1" t="s">
        <v>122</v>
      </c>
      <c r="B22" s="2">
        <v>46084</v>
      </c>
      <c r="C22">
        <v>2026</v>
      </c>
      <c r="D22" s="1" t="s">
        <v>123</v>
      </c>
      <c r="E22" s="1" t="s">
        <v>124</v>
      </c>
      <c r="F22" s="1" t="s">
        <v>120</v>
      </c>
      <c r="G22" s="1" t="s">
        <v>121</v>
      </c>
      <c r="H22" s="1" t="s">
        <v>39</v>
      </c>
      <c r="I22" s="1" t="s">
        <v>46</v>
      </c>
      <c r="J22">
        <v>11</v>
      </c>
      <c r="K22">
        <v>306.95</v>
      </c>
      <c r="L22">
        <v>2861.4</v>
      </c>
      <c r="M22">
        <v>3376.45</v>
      </c>
      <c r="N22">
        <v>515.04999999999973</v>
      </c>
      <c r="O22" s="1" t="s">
        <v>32</v>
      </c>
      <c r="P22" s="1" t="s">
        <v>88</v>
      </c>
      <c r="Q22">
        <v>3</v>
      </c>
    </row>
    <row r="23" spans="1:17" x14ac:dyDescent="0.25">
      <c r="A23" s="1" t="s">
        <v>125</v>
      </c>
      <c r="B23" s="2">
        <v>46240</v>
      </c>
      <c r="C23">
        <v>2026</v>
      </c>
      <c r="D23" s="1" t="s">
        <v>126</v>
      </c>
      <c r="E23" s="1" t="s">
        <v>127</v>
      </c>
      <c r="F23" s="1" t="s">
        <v>76</v>
      </c>
      <c r="G23" s="1" t="s">
        <v>77</v>
      </c>
      <c r="H23" s="1" t="s">
        <v>78</v>
      </c>
      <c r="I23" s="1" t="s">
        <v>23</v>
      </c>
      <c r="J23">
        <v>3</v>
      </c>
      <c r="K23">
        <v>221.06</v>
      </c>
      <c r="L23">
        <v>485.14</v>
      </c>
      <c r="M23">
        <v>663.18000000000006</v>
      </c>
      <c r="N23">
        <v>178.04000000000008</v>
      </c>
      <c r="O23" s="1" t="s">
        <v>24</v>
      </c>
      <c r="P23" s="1" t="s">
        <v>101</v>
      </c>
      <c r="Q23">
        <v>8</v>
      </c>
    </row>
    <row r="24" spans="1:17" x14ac:dyDescent="0.25">
      <c r="A24" s="1" t="s">
        <v>128</v>
      </c>
      <c r="B24" s="2">
        <v>46248</v>
      </c>
      <c r="C24">
        <v>2026</v>
      </c>
      <c r="D24" s="1" t="s">
        <v>129</v>
      </c>
      <c r="E24" s="1" t="s">
        <v>130</v>
      </c>
      <c r="F24" s="1" t="s">
        <v>109</v>
      </c>
      <c r="G24" s="1" t="s">
        <v>110</v>
      </c>
      <c r="H24" s="1" t="s">
        <v>111</v>
      </c>
      <c r="I24" s="1" t="s">
        <v>31</v>
      </c>
      <c r="J24">
        <v>14</v>
      </c>
      <c r="K24">
        <v>325.60000000000002</v>
      </c>
      <c r="L24">
        <v>2851.81</v>
      </c>
      <c r="M24">
        <v>4558.4000000000005</v>
      </c>
      <c r="N24">
        <v>1706.5900000000006</v>
      </c>
      <c r="O24" s="1" t="s">
        <v>24</v>
      </c>
      <c r="P24" s="1" t="s">
        <v>101</v>
      </c>
      <c r="Q24">
        <v>8</v>
      </c>
    </row>
    <row r="25" spans="1:17" x14ac:dyDescent="0.25">
      <c r="A25" s="1" t="s">
        <v>131</v>
      </c>
      <c r="B25" s="2">
        <v>46330</v>
      </c>
      <c r="C25">
        <v>2026</v>
      </c>
      <c r="D25" s="1" t="s">
        <v>132</v>
      </c>
      <c r="E25" s="1" t="s">
        <v>133</v>
      </c>
      <c r="F25" s="1" t="s">
        <v>96</v>
      </c>
      <c r="G25" s="1" t="s">
        <v>97</v>
      </c>
      <c r="H25" s="1" t="s">
        <v>39</v>
      </c>
      <c r="I25" s="1" t="s">
        <v>31</v>
      </c>
      <c r="J25">
        <v>17</v>
      </c>
      <c r="K25">
        <v>440.76</v>
      </c>
      <c r="L25">
        <v>5061.97</v>
      </c>
      <c r="M25">
        <v>7492.92</v>
      </c>
      <c r="N25">
        <v>2430.9499999999998</v>
      </c>
      <c r="O25" s="1" t="s">
        <v>52</v>
      </c>
      <c r="P25" s="1" t="s">
        <v>134</v>
      </c>
      <c r="Q25">
        <v>11</v>
      </c>
    </row>
    <row r="26" spans="1:17" x14ac:dyDescent="0.25">
      <c r="A26" s="1" t="s">
        <v>135</v>
      </c>
      <c r="B26" s="2">
        <v>46332</v>
      </c>
      <c r="C26">
        <v>2026</v>
      </c>
      <c r="D26" s="1" t="s">
        <v>136</v>
      </c>
      <c r="E26" s="1" t="s">
        <v>137</v>
      </c>
      <c r="F26" s="1" t="s">
        <v>138</v>
      </c>
      <c r="G26" s="1" t="s">
        <v>139</v>
      </c>
      <c r="H26" s="1" t="s">
        <v>45</v>
      </c>
      <c r="I26" s="1" t="s">
        <v>46</v>
      </c>
      <c r="J26">
        <v>15</v>
      </c>
      <c r="K26">
        <v>175.8</v>
      </c>
      <c r="L26">
        <v>1763.84</v>
      </c>
      <c r="M26">
        <v>2637</v>
      </c>
      <c r="N26">
        <v>873.16000000000008</v>
      </c>
      <c r="O26" s="1" t="s">
        <v>52</v>
      </c>
      <c r="P26" s="1" t="s">
        <v>134</v>
      </c>
      <c r="Q26">
        <v>11</v>
      </c>
    </row>
    <row r="27" spans="1:17" x14ac:dyDescent="0.25">
      <c r="A27" s="1" t="s">
        <v>140</v>
      </c>
      <c r="B27" s="2">
        <v>46245</v>
      </c>
      <c r="C27">
        <v>2026</v>
      </c>
      <c r="D27" s="1" t="s">
        <v>94</v>
      </c>
      <c r="E27" s="1" t="s">
        <v>141</v>
      </c>
      <c r="F27" s="1" t="s">
        <v>105</v>
      </c>
      <c r="G27" s="1" t="s">
        <v>106</v>
      </c>
      <c r="H27" s="1" t="s">
        <v>78</v>
      </c>
      <c r="I27" s="1" t="s">
        <v>31</v>
      </c>
      <c r="J27">
        <v>19</v>
      </c>
      <c r="K27">
        <v>235.83</v>
      </c>
      <c r="L27">
        <v>2978.8</v>
      </c>
      <c r="M27">
        <v>4480.7700000000004</v>
      </c>
      <c r="N27">
        <v>1501.9700000000003</v>
      </c>
      <c r="O27" s="1" t="s">
        <v>24</v>
      </c>
      <c r="P27" s="1" t="s">
        <v>101</v>
      </c>
      <c r="Q27">
        <v>8</v>
      </c>
    </row>
    <row r="28" spans="1:17" x14ac:dyDescent="0.25">
      <c r="A28" s="1" t="s">
        <v>142</v>
      </c>
      <c r="B28" s="2">
        <v>46115</v>
      </c>
      <c r="C28">
        <v>2026</v>
      </c>
      <c r="D28" s="1" t="s">
        <v>18</v>
      </c>
      <c r="E28" s="1" t="s">
        <v>143</v>
      </c>
      <c r="F28" s="1" t="s">
        <v>144</v>
      </c>
      <c r="G28" s="1" t="s">
        <v>145</v>
      </c>
      <c r="H28" s="1" t="s">
        <v>39</v>
      </c>
      <c r="I28" s="1" t="s">
        <v>60</v>
      </c>
      <c r="J28">
        <v>20</v>
      </c>
      <c r="K28">
        <v>360.44</v>
      </c>
      <c r="L28">
        <v>4828.17</v>
      </c>
      <c r="M28">
        <v>7208.8</v>
      </c>
      <c r="N28">
        <v>2380.63</v>
      </c>
      <c r="O28" s="1" t="s">
        <v>47</v>
      </c>
      <c r="P28" s="1" t="s">
        <v>48</v>
      </c>
      <c r="Q28">
        <v>4</v>
      </c>
    </row>
    <row r="29" spans="1:17" x14ac:dyDescent="0.25">
      <c r="A29" s="1" t="s">
        <v>146</v>
      </c>
      <c r="B29" s="2">
        <v>46233</v>
      </c>
      <c r="C29">
        <v>2026</v>
      </c>
      <c r="D29" s="1" t="s">
        <v>147</v>
      </c>
      <c r="E29" s="1" t="s">
        <v>148</v>
      </c>
      <c r="F29" s="1" t="s">
        <v>149</v>
      </c>
      <c r="G29" s="1" t="s">
        <v>150</v>
      </c>
      <c r="H29" s="1" t="s">
        <v>22</v>
      </c>
      <c r="I29" s="1" t="s">
        <v>46</v>
      </c>
      <c r="J29">
        <v>20</v>
      </c>
      <c r="K29">
        <v>69.069999999999993</v>
      </c>
      <c r="L29">
        <v>989.77</v>
      </c>
      <c r="M29">
        <v>1381.3999999999999</v>
      </c>
      <c r="N29">
        <v>391.62999999999988</v>
      </c>
      <c r="O29" s="1" t="s">
        <v>24</v>
      </c>
      <c r="P29" s="1" t="s">
        <v>25</v>
      </c>
      <c r="Q29">
        <v>7</v>
      </c>
    </row>
    <row r="30" spans="1:17" x14ac:dyDescent="0.25">
      <c r="A30" s="1" t="s">
        <v>151</v>
      </c>
      <c r="B30" s="2">
        <v>46360</v>
      </c>
      <c r="C30">
        <v>2026</v>
      </c>
      <c r="D30" s="1" t="s">
        <v>152</v>
      </c>
      <c r="E30" s="1" t="s">
        <v>153</v>
      </c>
      <c r="F30" s="1" t="s">
        <v>154</v>
      </c>
      <c r="G30" s="1" t="s">
        <v>155</v>
      </c>
      <c r="H30" s="1" t="s">
        <v>22</v>
      </c>
      <c r="I30" s="1" t="s">
        <v>46</v>
      </c>
      <c r="J30">
        <v>15</v>
      </c>
      <c r="K30">
        <v>308.27999999999997</v>
      </c>
      <c r="L30">
        <v>3246.51</v>
      </c>
      <c r="M30">
        <v>4624.2</v>
      </c>
      <c r="N30">
        <v>1377.6899999999996</v>
      </c>
      <c r="O30" s="1" t="s">
        <v>52</v>
      </c>
      <c r="P30" s="1" t="s">
        <v>67</v>
      </c>
      <c r="Q30">
        <v>12</v>
      </c>
    </row>
    <row r="31" spans="1:17" x14ac:dyDescent="0.25">
      <c r="A31" s="1" t="s">
        <v>156</v>
      </c>
      <c r="B31" s="2">
        <v>46107</v>
      </c>
      <c r="C31">
        <v>2026</v>
      </c>
      <c r="D31" s="1" t="s">
        <v>157</v>
      </c>
      <c r="E31" s="1" t="s">
        <v>158</v>
      </c>
      <c r="F31" s="1" t="s">
        <v>159</v>
      </c>
      <c r="G31" s="1" t="s">
        <v>160</v>
      </c>
      <c r="H31" s="1" t="s">
        <v>111</v>
      </c>
      <c r="I31" s="1" t="s">
        <v>23</v>
      </c>
      <c r="J31">
        <v>6</v>
      </c>
      <c r="K31">
        <v>429.23</v>
      </c>
      <c r="L31">
        <v>1427.01</v>
      </c>
      <c r="M31">
        <v>2575.38</v>
      </c>
      <c r="N31">
        <v>1148.3700000000001</v>
      </c>
      <c r="O31" s="1" t="s">
        <v>32</v>
      </c>
      <c r="P31" s="1" t="s">
        <v>88</v>
      </c>
      <c r="Q31">
        <v>3</v>
      </c>
    </row>
    <row r="32" spans="1:17" x14ac:dyDescent="0.25">
      <c r="A32" s="1" t="s">
        <v>161</v>
      </c>
      <c r="B32" s="2">
        <v>46258</v>
      </c>
      <c r="C32">
        <v>2026</v>
      </c>
      <c r="D32" s="1" t="s">
        <v>162</v>
      </c>
      <c r="E32" s="1" t="s">
        <v>163</v>
      </c>
      <c r="F32" s="1" t="s">
        <v>164</v>
      </c>
      <c r="G32" s="1" t="s">
        <v>165</v>
      </c>
      <c r="H32" s="1" t="s">
        <v>22</v>
      </c>
      <c r="I32" s="1" t="s">
        <v>31</v>
      </c>
      <c r="J32">
        <v>11</v>
      </c>
      <c r="K32">
        <v>43.42</v>
      </c>
      <c r="L32">
        <v>385.22</v>
      </c>
      <c r="M32">
        <v>477.62</v>
      </c>
      <c r="N32">
        <v>92.399999999999977</v>
      </c>
      <c r="O32" s="1" t="s">
        <v>24</v>
      </c>
      <c r="P32" s="1" t="s">
        <v>101</v>
      </c>
      <c r="Q32">
        <v>8</v>
      </c>
    </row>
    <row r="33" spans="1:17" x14ac:dyDescent="0.25">
      <c r="A33" s="1" t="s">
        <v>166</v>
      </c>
      <c r="B33" s="2">
        <v>46197</v>
      </c>
      <c r="C33">
        <v>2026</v>
      </c>
      <c r="D33" s="1" t="s">
        <v>167</v>
      </c>
      <c r="E33" s="1" t="s">
        <v>168</v>
      </c>
      <c r="F33" s="1" t="s">
        <v>169</v>
      </c>
      <c r="G33" s="1" t="s">
        <v>170</v>
      </c>
      <c r="H33" s="1" t="s">
        <v>78</v>
      </c>
      <c r="I33" s="1" t="s">
        <v>23</v>
      </c>
      <c r="J33">
        <v>19</v>
      </c>
      <c r="K33">
        <v>402.77</v>
      </c>
      <c r="L33">
        <v>4275.3100000000004</v>
      </c>
      <c r="M33">
        <v>7652.6299999999992</v>
      </c>
      <c r="N33">
        <v>3377.3199999999988</v>
      </c>
      <c r="O33" s="1" t="s">
        <v>47</v>
      </c>
      <c r="P33" s="1" t="s">
        <v>171</v>
      </c>
      <c r="Q33">
        <v>6</v>
      </c>
    </row>
    <row r="34" spans="1:17" x14ac:dyDescent="0.25">
      <c r="A34" s="1" t="s">
        <v>172</v>
      </c>
      <c r="B34" s="2">
        <v>46338</v>
      </c>
      <c r="C34">
        <v>2026</v>
      </c>
      <c r="D34" s="1" t="s">
        <v>173</v>
      </c>
      <c r="E34" s="1" t="s">
        <v>174</v>
      </c>
      <c r="F34" s="1" t="s">
        <v>175</v>
      </c>
      <c r="G34" s="1" t="s">
        <v>176</v>
      </c>
      <c r="H34" s="1" t="s">
        <v>59</v>
      </c>
      <c r="I34" s="1" t="s">
        <v>23</v>
      </c>
      <c r="J34">
        <v>11</v>
      </c>
      <c r="K34">
        <v>201.37</v>
      </c>
      <c r="L34">
        <v>1250.05</v>
      </c>
      <c r="M34">
        <v>2215.0700000000002</v>
      </c>
      <c r="N34">
        <v>965.02000000000021</v>
      </c>
      <c r="O34" s="1" t="s">
        <v>52</v>
      </c>
      <c r="P34" s="1" t="s">
        <v>134</v>
      </c>
      <c r="Q34">
        <v>11</v>
      </c>
    </row>
    <row r="35" spans="1:17" x14ac:dyDescent="0.25">
      <c r="A35" s="1" t="s">
        <v>177</v>
      </c>
      <c r="B35" s="2">
        <v>46300</v>
      </c>
      <c r="C35">
        <v>2026</v>
      </c>
      <c r="D35" s="1" t="s">
        <v>74</v>
      </c>
      <c r="E35" s="1" t="s">
        <v>178</v>
      </c>
      <c r="F35" s="1" t="s">
        <v>179</v>
      </c>
      <c r="G35" s="1" t="s">
        <v>180</v>
      </c>
      <c r="H35" s="1" t="s">
        <v>78</v>
      </c>
      <c r="I35" s="1" t="s">
        <v>23</v>
      </c>
      <c r="J35">
        <v>17</v>
      </c>
      <c r="K35">
        <v>151.05000000000001</v>
      </c>
      <c r="L35">
        <v>1716.85</v>
      </c>
      <c r="M35">
        <v>2567.8500000000004</v>
      </c>
      <c r="N35">
        <v>851.00000000000045</v>
      </c>
      <c r="O35" s="1" t="s">
        <v>52</v>
      </c>
      <c r="P35" s="1" t="s">
        <v>53</v>
      </c>
      <c r="Q35">
        <v>10</v>
      </c>
    </row>
    <row r="36" spans="1:17" x14ac:dyDescent="0.25">
      <c r="A36" s="1" t="s">
        <v>181</v>
      </c>
      <c r="B36" s="2">
        <v>46052</v>
      </c>
      <c r="C36">
        <v>2026</v>
      </c>
      <c r="D36" s="1" t="s">
        <v>152</v>
      </c>
      <c r="E36" s="1" t="s">
        <v>182</v>
      </c>
      <c r="F36" s="1" t="s">
        <v>115</v>
      </c>
      <c r="G36" s="1" t="s">
        <v>116</v>
      </c>
      <c r="H36" s="1" t="s">
        <v>22</v>
      </c>
      <c r="I36" s="1" t="s">
        <v>60</v>
      </c>
      <c r="J36">
        <v>2</v>
      </c>
      <c r="K36">
        <v>333.63</v>
      </c>
      <c r="L36">
        <v>392.88</v>
      </c>
      <c r="M36">
        <v>667.26</v>
      </c>
      <c r="N36">
        <v>274.38</v>
      </c>
      <c r="O36" s="1" t="s">
        <v>32</v>
      </c>
      <c r="P36" s="1" t="s">
        <v>33</v>
      </c>
      <c r="Q36">
        <v>1</v>
      </c>
    </row>
    <row r="37" spans="1:17" x14ac:dyDescent="0.25">
      <c r="A37" s="1" t="s">
        <v>183</v>
      </c>
      <c r="B37" s="2">
        <v>46085</v>
      </c>
      <c r="C37">
        <v>2026</v>
      </c>
      <c r="D37" s="1" t="s">
        <v>118</v>
      </c>
      <c r="E37" s="1" t="s">
        <v>184</v>
      </c>
      <c r="F37" s="1" t="s">
        <v>185</v>
      </c>
      <c r="G37" s="1" t="s">
        <v>186</v>
      </c>
      <c r="H37" s="1" t="s">
        <v>22</v>
      </c>
      <c r="I37" s="1" t="s">
        <v>46</v>
      </c>
      <c r="J37">
        <v>9</v>
      </c>
      <c r="K37">
        <v>77.33</v>
      </c>
      <c r="L37">
        <v>375.33</v>
      </c>
      <c r="M37">
        <v>695.97</v>
      </c>
      <c r="N37">
        <v>320.64000000000004</v>
      </c>
      <c r="O37" s="1" t="s">
        <v>32</v>
      </c>
      <c r="P37" s="1" t="s">
        <v>88</v>
      </c>
      <c r="Q37">
        <v>3</v>
      </c>
    </row>
    <row r="38" spans="1:17" x14ac:dyDescent="0.25">
      <c r="A38" s="1" t="s">
        <v>187</v>
      </c>
      <c r="B38" s="2">
        <v>46149</v>
      </c>
      <c r="C38">
        <v>2026</v>
      </c>
      <c r="D38" s="1" t="s">
        <v>167</v>
      </c>
      <c r="E38" s="1" t="s">
        <v>188</v>
      </c>
      <c r="F38" s="1" t="s">
        <v>189</v>
      </c>
      <c r="G38" s="1" t="s">
        <v>190</v>
      </c>
      <c r="H38" s="1" t="s">
        <v>22</v>
      </c>
      <c r="I38" s="1" t="s">
        <v>31</v>
      </c>
      <c r="J38">
        <v>1</v>
      </c>
      <c r="K38">
        <v>251.54</v>
      </c>
      <c r="L38">
        <v>133.61000000000001</v>
      </c>
      <c r="M38">
        <v>251.54</v>
      </c>
      <c r="N38">
        <v>117.92999999999998</v>
      </c>
      <c r="O38" s="1" t="s">
        <v>47</v>
      </c>
      <c r="P38" s="1" t="s">
        <v>92</v>
      </c>
      <c r="Q38">
        <v>5</v>
      </c>
    </row>
    <row r="39" spans="1:17" x14ac:dyDescent="0.25">
      <c r="A39" s="1" t="s">
        <v>191</v>
      </c>
      <c r="B39" s="2">
        <v>46115</v>
      </c>
      <c r="C39">
        <v>2026</v>
      </c>
      <c r="D39" s="1" t="s">
        <v>152</v>
      </c>
      <c r="E39" s="1" t="s">
        <v>192</v>
      </c>
      <c r="F39" s="1" t="s">
        <v>193</v>
      </c>
      <c r="G39" s="1" t="s">
        <v>194</v>
      </c>
      <c r="H39" s="1" t="s">
        <v>45</v>
      </c>
      <c r="I39" s="1" t="s">
        <v>31</v>
      </c>
      <c r="J39">
        <v>1</v>
      </c>
      <c r="K39">
        <v>407.67</v>
      </c>
      <c r="L39">
        <v>288.17</v>
      </c>
      <c r="M39">
        <v>407.67</v>
      </c>
      <c r="N39">
        <v>119.5</v>
      </c>
      <c r="O39" s="1" t="s">
        <v>47</v>
      </c>
      <c r="P39" s="1" t="s">
        <v>48</v>
      </c>
      <c r="Q39">
        <v>4</v>
      </c>
    </row>
    <row r="40" spans="1:17" x14ac:dyDescent="0.25">
      <c r="A40" s="1" t="s">
        <v>195</v>
      </c>
      <c r="B40" s="2">
        <v>46242</v>
      </c>
      <c r="C40">
        <v>2026</v>
      </c>
      <c r="D40" s="1" t="s">
        <v>196</v>
      </c>
      <c r="E40" s="1" t="s">
        <v>28</v>
      </c>
      <c r="F40" s="1" t="s">
        <v>197</v>
      </c>
      <c r="G40" s="1" t="s">
        <v>198</v>
      </c>
      <c r="H40" s="1" t="s">
        <v>59</v>
      </c>
      <c r="I40" s="1" t="s">
        <v>31</v>
      </c>
      <c r="J40">
        <v>20</v>
      </c>
      <c r="K40">
        <v>98.75</v>
      </c>
      <c r="L40">
        <v>1287.8900000000001</v>
      </c>
      <c r="M40">
        <v>1975</v>
      </c>
      <c r="N40">
        <v>687.1099999999999</v>
      </c>
      <c r="O40" s="1" t="s">
        <v>24</v>
      </c>
      <c r="P40" s="1" t="s">
        <v>101</v>
      </c>
      <c r="Q40">
        <v>8</v>
      </c>
    </row>
    <row r="41" spans="1:17" x14ac:dyDescent="0.25">
      <c r="A41" s="1" t="s">
        <v>199</v>
      </c>
      <c r="B41" s="2">
        <v>46166</v>
      </c>
      <c r="C41">
        <v>2026</v>
      </c>
      <c r="D41" s="1" t="s">
        <v>200</v>
      </c>
      <c r="E41" s="1" t="s">
        <v>201</v>
      </c>
      <c r="F41" s="1" t="s">
        <v>202</v>
      </c>
      <c r="G41" s="1" t="s">
        <v>203</v>
      </c>
      <c r="H41" s="1" t="s">
        <v>111</v>
      </c>
      <c r="I41" s="1" t="s">
        <v>46</v>
      </c>
      <c r="J41">
        <v>6</v>
      </c>
      <c r="K41">
        <v>63.41</v>
      </c>
      <c r="L41">
        <v>257.01</v>
      </c>
      <c r="M41">
        <v>380.46</v>
      </c>
      <c r="N41">
        <v>123.44999999999999</v>
      </c>
      <c r="O41" s="1" t="s">
        <v>47</v>
      </c>
      <c r="P41" s="1" t="s">
        <v>92</v>
      </c>
      <c r="Q41">
        <v>5</v>
      </c>
    </row>
    <row r="42" spans="1:17" x14ac:dyDescent="0.25">
      <c r="A42" s="1" t="s">
        <v>204</v>
      </c>
      <c r="B42" s="2">
        <v>46218</v>
      </c>
      <c r="C42">
        <v>2026</v>
      </c>
      <c r="D42" s="1" t="s">
        <v>41</v>
      </c>
      <c r="E42" s="1" t="s">
        <v>205</v>
      </c>
      <c r="F42" s="1" t="s">
        <v>206</v>
      </c>
      <c r="G42" s="1" t="s">
        <v>207</v>
      </c>
      <c r="H42" s="1" t="s">
        <v>39</v>
      </c>
      <c r="I42" s="1" t="s">
        <v>60</v>
      </c>
      <c r="J42">
        <v>10</v>
      </c>
      <c r="K42">
        <v>428.74</v>
      </c>
      <c r="L42">
        <v>3643.64</v>
      </c>
      <c r="M42">
        <v>4287.3999999999996</v>
      </c>
      <c r="N42">
        <v>643.75999999999976</v>
      </c>
      <c r="O42" s="1" t="s">
        <v>24</v>
      </c>
      <c r="P42" s="1" t="s">
        <v>25</v>
      </c>
      <c r="Q42">
        <v>7</v>
      </c>
    </row>
    <row r="43" spans="1:17" x14ac:dyDescent="0.25">
      <c r="A43" s="1" t="s">
        <v>208</v>
      </c>
      <c r="B43" s="2">
        <v>46198</v>
      </c>
      <c r="C43">
        <v>2026</v>
      </c>
      <c r="D43" s="1" t="s">
        <v>209</v>
      </c>
      <c r="E43" s="1" t="s">
        <v>210</v>
      </c>
      <c r="F43" s="1" t="s">
        <v>211</v>
      </c>
      <c r="G43" s="1" t="s">
        <v>212</v>
      </c>
      <c r="H43" s="1" t="s">
        <v>39</v>
      </c>
      <c r="I43" s="1" t="s">
        <v>46</v>
      </c>
      <c r="J43">
        <v>9</v>
      </c>
      <c r="K43">
        <v>299.01</v>
      </c>
      <c r="L43">
        <v>1921.6</v>
      </c>
      <c r="M43">
        <v>2691.09</v>
      </c>
      <c r="N43">
        <v>769.49000000000024</v>
      </c>
      <c r="O43" s="1" t="s">
        <v>47</v>
      </c>
      <c r="P43" s="1" t="s">
        <v>171</v>
      </c>
      <c r="Q43">
        <v>6</v>
      </c>
    </row>
    <row r="44" spans="1:17" x14ac:dyDescent="0.25">
      <c r="A44" s="1" t="s">
        <v>213</v>
      </c>
      <c r="B44" s="2">
        <v>46319</v>
      </c>
      <c r="C44">
        <v>2026</v>
      </c>
      <c r="D44" s="1" t="s">
        <v>209</v>
      </c>
      <c r="E44" s="1" t="s">
        <v>214</v>
      </c>
      <c r="F44" s="1" t="s">
        <v>90</v>
      </c>
      <c r="G44" s="1" t="s">
        <v>91</v>
      </c>
      <c r="H44" s="1" t="s">
        <v>22</v>
      </c>
      <c r="I44" s="1" t="s">
        <v>46</v>
      </c>
      <c r="J44">
        <v>3</v>
      </c>
      <c r="K44">
        <v>224.4</v>
      </c>
      <c r="L44">
        <v>487.85</v>
      </c>
      <c r="M44">
        <v>673.2</v>
      </c>
      <c r="N44">
        <v>185.35000000000002</v>
      </c>
      <c r="O44" s="1" t="s">
        <v>52</v>
      </c>
      <c r="P44" s="1" t="s">
        <v>53</v>
      </c>
      <c r="Q44">
        <v>10</v>
      </c>
    </row>
    <row r="45" spans="1:17" x14ac:dyDescent="0.25">
      <c r="A45" s="1" t="s">
        <v>215</v>
      </c>
      <c r="B45" s="2">
        <v>46160</v>
      </c>
      <c r="C45">
        <v>2026</v>
      </c>
      <c r="D45" s="1" t="s">
        <v>216</v>
      </c>
      <c r="E45" s="1" t="s">
        <v>217</v>
      </c>
      <c r="F45" s="1" t="s">
        <v>159</v>
      </c>
      <c r="G45" s="1" t="s">
        <v>160</v>
      </c>
      <c r="H45" s="1" t="s">
        <v>111</v>
      </c>
      <c r="I45" s="1" t="s">
        <v>23</v>
      </c>
      <c r="J45">
        <v>17</v>
      </c>
      <c r="K45">
        <v>251.77</v>
      </c>
      <c r="L45">
        <v>2312.52</v>
      </c>
      <c r="M45">
        <v>4280.09</v>
      </c>
      <c r="N45">
        <v>1967.5700000000002</v>
      </c>
      <c r="O45" s="1" t="s">
        <v>47</v>
      </c>
      <c r="P45" s="1" t="s">
        <v>92</v>
      </c>
      <c r="Q45">
        <v>5</v>
      </c>
    </row>
    <row r="46" spans="1:17" x14ac:dyDescent="0.25">
      <c r="A46" s="1" t="s">
        <v>218</v>
      </c>
      <c r="B46" s="2">
        <v>46036</v>
      </c>
      <c r="C46">
        <v>2026</v>
      </c>
      <c r="D46" s="1" t="s">
        <v>219</v>
      </c>
      <c r="E46" s="1" t="s">
        <v>220</v>
      </c>
      <c r="F46" s="1" t="s">
        <v>206</v>
      </c>
      <c r="G46" s="1" t="s">
        <v>207</v>
      </c>
      <c r="H46" s="1" t="s">
        <v>39</v>
      </c>
      <c r="I46" s="1" t="s">
        <v>23</v>
      </c>
      <c r="J46">
        <v>20</v>
      </c>
      <c r="K46">
        <v>325.52</v>
      </c>
      <c r="L46">
        <v>4014.71</v>
      </c>
      <c r="M46">
        <v>6510.4</v>
      </c>
      <c r="N46">
        <v>2495.6899999999996</v>
      </c>
      <c r="O46" s="1" t="s">
        <v>32</v>
      </c>
      <c r="P46" s="1" t="s">
        <v>33</v>
      </c>
      <c r="Q46">
        <v>1</v>
      </c>
    </row>
    <row r="47" spans="1:17" x14ac:dyDescent="0.25">
      <c r="A47" s="1" t="s">
        <v>221</v>
      </c>
      <c r="B47" s="2">
        <v>46364</v>
      </c>
      <c r="C47">
        <v>2026</v>
      </c>
      <c r="D47" s="1" t="s">
        <v>222</v>
      </c>
      <c r="E47" s="1" t="s">
        <v>223</v>
      </c>
      <c r="F47" s="1" t="s">
        <v>202</v>
      </c>
      <c r="G47" s="1" t="s">
        <v>203</v>
      </c>
      <c r="H47" s="1" t="s">
        <v>111</v>
      </c>
      <c r="I47" s="1" t="s">
        <v>46</v>
      </c>
      <c r="J47">
        <v>6</v>
      </c>
      <c r="K47">
        <v>440.76</v>
      </c>
      <c r="L47">
        <v>1519.3</v>
      </c>
      <c r="M47">
        <v>2644.56</v>
      </c>
      <c r="N47">
        <v>1125.26</v>
      </c>
      <c r="O47" s="1" t="s">
        <v>52</v>
      </c>
      <c r="P47" s="1" t="s">
        <v>67</v>
      </c>
      <c r="Q47">
        <v>12</v>
      </c>
    </row>
    <row r="48" spans="1:17" x14ac:dyDescent="0.25">
      <c r="A48" s="1" t="s">
        <v>224</v>
      </c>
      <c r="B48" s="2">
        <v>46353</v>
      </c>
      <c r="C48">
        <v>2026</v>
      </c>
      <c r="D48" s="1" t="s">
        <v>225</v>
      </c>
      <c r="E48" s="1" t="s">
        <v>226</v>
      </c>
      <c r="F48" s="1" t="s">
        <v>109</v>
      </c>
      <c r="G48" s="1" t="s">
        <v>110</v>
      </c>
      <c r="H48" s="1" t="s">
        <v>111</v>
      </c>
      <c r="I48" s="1" t="s">
        <v>31</v>
      </c>
      <c r="J48">
        <v>11</v>
      </c>
      <c r="K48">
        <v>355.29</v>
      </c>
      <c r="L48">
        <v>2750.55</v>
      </c>
      <c r="M48">
        <v>3908.19</v>
      </c>
      <c r="N48">
        <v>1157.6399999999999</v>
      </c>
      <c r="O48" s="1" t="s">
        <v>52</v>
      </c>
      <c r="P48" s="1" t="s">
        <v>134</v>
      </c>
      <c r="Q48">
        <v>11</v>
      </c>
    </row>
    <row r="49" spans="1:17" x14ac:dyDescent="0.25">
      <c r="A49" s="1" t="s">
        <v>227</v>
      </c>
      <c r="B49" s="2">
        <v>46217</v>
      </c>
      <c r="C49">
        <v>2026</v>
      </c>
      <c r="D49" s="1" t="s">
        <v>216</v>
      </c>
      <c r="E49" s="1" t="s">
        <v>228</v>
      </c>
      <c r="F49" s="1" t="s">
        <v>105</v>
      </c>
      <c r="G49" s="1" t="s">
        <v>106</v>
      </c>
      <c r="H49" s="1" t="s">
        <v>78</v>
      </c>
      <c r="I49" s="1" t="s">
        <v>31</v>
      </c>
      <c r="J49">
        <v>5</v>
      </c>
      <c r="K49">
        <v>44.07</v>
      </c>
      <c r="L49">
        <v>153.94999999999999</v>
      </c>
      <c r="M49">
        <v>220.35</v>
      </c>
      <c r="N49">
        <v>66.400000000000006</v>
      </c>
      <c r="O49" s="1" t="s">
        <v>24</v>
      </c>
      <c r="P49" s="1" t="s">
        <v>25</v>
      </c>
      <c r="Q49">
        <v>7</v>
      </c>
    </row>
    <row r="50" spans="1:17" x14ac:dyDescent="0.25">
      <c r="A50" s="1" t="s">
        <v>229</v>
      </c>
      <c r="B50" s="2">
        <v>46239</v>
      </c>
      <c r="C50">
        <v>2026</v>
      </c>
      <c r="D50" s="1" t="s">
        <v>167</v>
      </c>
      <c r="E50" s="1" t="s">
        <v>230</v>
      </c>
      <c r="F50" s="1" t="s">
        <v>231</v>
      </c>
      <c r="G50" s="1" t="s">
        <v>232</v>
      </c>
      <c r="H50" s="1" t="s">
        <v>59</v>
      </c>
      <c r="I50" s="1" t="s">
        <v>23</v>
      </c>
      <c r="J50">
        <v>11</v>
      </c>
      <c r="K50">
        <v>413.88</v>
      </c>
      <c r="L50">
        <v>3095.26</v>
      </c>
      <c r="M50">
        <v>4552.68</v>
      </c>
      <c r="N50">
        <v>1457.42</v>
      </c>
      <c r="O50" s="1" t="s">
        <v>24</v>
      </c>
      <c r="P50" s="1" t="s">
        <v>101</v>
      </c>
      <c r="Q50">
        <v>8</v>
      </c>
    </row>
    <row r="51" spans="1:17" x14ac:dyDescent="0.25">
      <c r="A51" s="1" t="s">
        <v>233</v>
      </c>
      <c r="B51" s="2">
        <v>46161</v>
      </c>
      <c r="C51">
        <v>2026</v>
      </c>
      <c r="D51" s="1" t="s">
        <v>126</v>
      </c>
      <c r="E51" s="1" t="s">
        <v>230</v>
      </c>
      <c r="F51" s="1" t="s">
        <v>234</v>
      </c>
      <c r="G51" s="1" t="s">
        <v>235</v>
      </c>
      <c r="H51" s="1" t="s">
        <v>236</v>
      </c>
      <c r="I51" s="1" t="s">
        <v>60</v>
      </c>
      <c r="J51">
        <v>10</v>
      </c>
      <c r="K51">
        <v>462.99</v>
      </c>
      <c r="L51">
        <v>3011.06</v>
      </c>
      <c r="M51">
        <v>4629.8999999999996</v>
      </c>
      <c r="N51">
        <v>1618.8399999999997</v>
      </c>
      <c r="O51" s="1" t="s">
        <v>47</v>
      </c>
      <c r="P51" s="1" t="s">
        <v>92</v>
      </c>
      <c r="Q51">
        <v>5</v>
      </c>
    </row>
    <row r="52" spans="1:17" x14ac:dyDescent="0.25">
      <c r="A52" s="1" t="s">
        <v>237</v>
      </c>
      <c r="B52" s="2">
        <v>46184</v>
      </c>
      <c r="C52">
        <v>2026</v>
      </c>
      <c r="D52" s="1" t="s">
        <v>238</v>
      </c>
      <c r="E52" s="1" t="s">
        <v>239</v>
      </c>
      <c r="F52" s="1" t="s">
        <v>159</v>
      </c>
      <c r="G52" s="1" t="s">
        <v>160</v>
      </c>
      <c r="H52" s="1" t="s">
        <v>111</v>
      </c>
      <c r="I52" s="1" t="s">
        <v>60</v>
      </c>
      <c r="J52">
        <v>2</v>
      </c>
      <c r="K52">
        <v>487.67</v>
      </c>
      <c r="L52">
        <v>627.03</v>
      </c>
      <c r="M52">
        <v>975.34</v>
      </c>
      <c r="N52">
        <v>348.31000000000006</v>
      </c>
      <c r="O52" s="1" t="s">
        <v>47</v>
      </c>
      <c r="P52" s="1" t="s">
        <v>171</v>
      </c>
      <c r="Q52">
        <v>6</v>
      </c>
    </row>
    <row r="53" spans="1:17" x14ac:dyDescent="0.25">
      <c r="A53" s="1" t="s">
        <v>240</v>
      </c>
      <c r="B53" s="2">
        <v>46249</v>
      </c>
      <c r="C53">
        <v>2026</v>
      </c>
      <c r="D53" s="1" t="s">
        <v>152</v>
      </c>
      <c r="E53" s="1" t="s">
        <v>241</v>
      </c>
      <c r="F53" s="1" t="s">
        <v>144</v>
      </c>
      <c r="G53" s="1" t="s">
        <v>145</v>
      </c>
      <c r="H53" s="1" t="s">
        <v>39</v>
      </c>
      <c r="I53" s="1" t="s">
        <v>31</v>
      </c>
      <c r="J53">
        <v>15</v>
      </c>
      <c r="K53">
        <v>359.56</v>
      </c>
      <c r="L53">
        <v>3727.76</v>
      </c>
      <c r="M53">
        <v>5393.4</v>
      </c>
      <c r="N53">
        <v>1665.6399999999994</v>
      </c>
      <c r="O53" s="1" t="s">
        <v>24</v>
      </c>
      <c r="P53" s="1" t="s">
        <v>101</v>
      </c>
      <c r="Q53">
        <v>8</v>
      </c>
    </row>
    <row r="54" spans="1:17" x14ac:dyDescent="0.25">
      <c r="A54" s="1" t="s">
        <v>242</v>
      </c>
      <c r="B54" s="2">
        <v>46316</v>
      </c>
      <c r="C54">
        <v>2026</v>
      </c>
      <c r="D54" s="1" t="s">
        <v>243</v>
      </c>
      <c r="E54" s="1" t="s">
        <v>244</v>
      </c>
      <c r="F54" s="1" t="s">
        <v>245</v>
      </c>
      <c r="G54" s="1" t="s">
        <v>246</v>
      </c>
      <c r="H54" s="1" t="s">
        <v>39</v>
      </c>
      <c r="I54" s="1" t="s">
        <v>31</v>
      </c>
      <c r="J54">
        <v>5</v>
      </c>
      <c r="K54">
        <v>313.41000000000003</v>
      </c>
      <c r="L54">
        <v>956.31</v>
      </c>
      <c r="M54">
        <v>1567.0500000000002</v>
      </c>
      <c r="N54">
        <v>610.74000000000024</v>
      </c>
      <c r="O54" s="1" t="s">
        <v>52</v>
      </c>
      <c r="P54" s="1" t="s">
        <v>53</v>
      </c>
      <c r="Q54">
        <v>10</v>
      </c>
    </row>
    <row r="55" spans="1:17" x14ac:dyDescent="0.25">
      <c r="A55" s="1" t="s">
        <v>247</v>
      </c>
      <c r="B55" s="2">
        <v>46224</v>
      </c>
      <c r="C55">
        <v>2026</v>
      </c>
      <c r="D55" s="1" t="s">
        <v>248</v>
      </c>
      <c r="E55" s="1" t="s">
        <v>205</v>
      </c>
      <c r="F55" s="1" t="s">
        <v>249</v>
      </c>
      <c r="G55" s="1" t="s">
        <v>250</v>
      </c>
      <c r="H55" s="1" t="s">
        <v>59</v>
      </c>
      <c r="I55" s="1" t="s">
        <v>23</v>
      </c>
      <c r="J55">
        <v>18</v>
      </c>
      <c r="K55">
        <v>478.01</v>
      </c>
      <c r="L55">
        <v>5144.46</v>
      </c>
      <c r="M55">
        <v>8604.18</v>
      </c>
      <c r="N55">
        <v>3459.7200000000003</v>
      </c>
      <c r="O55" s="1" t="s">
        <v>24</v>
      </c>
      <c r="P55" s="1" t="s">
        <v>25</v>
      </c>
      <c r="Q55">
        <v>7</v>
      </c>
    </row>
    <row r="56" spans="1:17" x14ac:dyDescent="0.25">
      <c r="A56" s="1" t="s">
        <v>251</v>
      </c>
      <c r="B56" s="2">
        <v>46188</v>
      </c>
      <c r="C56">
        <v>2026</v>
      </c>
      <c r="D56" s="1" t="s">
        <v>252</v>
      </c>
      <c r="E56" s="1" t="s">
        <v>253</v>
      </c>
      <c r="F56" s="1" t="s">
        <v>231</v>
      </c>
      <c r="G56" s="1" t="s">
        <v>232</v>
      </c>
      <c r="H56" s="1" t="s">
        <v>59</v>
      </c>
      <c r="I56" s="1" t="s">
        <v>46</v>
      </c>
      <c r="J56">
        <v>2</v>
      </c>
      <c r="K56">
        <v>498.01</v>
      </c>
      <c r="L56">
        <v>600.57000000000005</v>
      </c>
      <c r="M56">
        <v>996.02</v>
      </c>
      <c r="N56">
        <v>395.44999999999993</v>
      </c>
      <c r="O56" s="1" t="s">
        <v>47</v>
      </c>
      <c r="P56" s="1" t="s">
        <v>171</v>
      </c>
      <c r="Q56">
        <v>6</v>
      </c>
    </row>
    <row r="57" spans="1:17" x14ac:dyDescent="0.25">
      <c r="A57" s="1" t="s">
        <v>254</v>
      </c>
      <c r="B57" s="2">
        <v>46353</v>
      </c>
      <c r="C57">
        <v>2026</v>
      </c>
      <c r="D57" s="1" t="s">
        <v>255</v>
      </c>
      <c r="E57" s="1" t="s">
        <v>256</v>
      </c>
      <c r="F57" s="1" t="s">
        <v>257</v>
      </c>
      <c r="G57" s="1" t="s">
        <v>258</v>
      </c>
      <c r="H57" s="1" t="s">
        <v>39</v>
      </c>
      <c r="I57" s="1" t="s">
        <v>31</v>
      </c>
      <c r="J57">
        <v>11</v>
      </c>
      <c r="K57">
        <v>489.24</v>
      </c>
      <c r="L57">
        <v>3208.94</v>
      </c>
      <c r="M57">
        <v>5381.64</v>
      </c>
      <c r="N57">
        <v>2172.7000000000003</v>
      </c>
      <c r="O57" s="1" t="s">
        <v>52</v>
      </c>
      <c r="P57" s="1" t="s">
        <v>134</v>
      </c>
      <c r="Q57">
        <v>11</v>
      </c>
    </row>
    <row r="58" spans="1:17" x14ac:dyDescent="0.25">
      <c r="A58" s="1" t="s">
        <v>259</v>
      </c>
      <c r="B58" s="2">
        <v>46125</v>
      </c>
      <c r="C58">
        <v>2026</v>
      </c>
      <c r="D58" s="1" t="s">
        <v>260</v>
      </c>
      <c r="E58" s="1" t="s">
        <v>261</v>
      </c>
      <c r="F58" s="1" t="s">
        <v>189</v>
      </c>
      <c r="G58" s="1" t="s">
        <v>190</v>
      </c>
      <c r="H58" s="1" t="s">
        <v>22</v>
      </c>
      <c r="I58" s="1" t="s">
        <v>60</v>
      </c>
      <c r="J58">
        <v>9</v>
      </c>
      <c r="K58">
        <v>21.89</v>
      </c>
      <c r="L58">
        <v>121.32</v>
      </c>
      <c r="M58">
        <v>197.01</v>
      </c>
      <c r="N58">
        <v>75.69</v>
      </c>
      <c r="O58" s="1" t="s">
        <v>47</v>
      </c>
      <c r="P58" s="1" t="s">
        <v>48</v>
      </c>
      <c r="Q58">
        <v>4</v>
      </c>
    </row>
    <row r="59" spans="1:17" x14ac:dyDescent="0.25">
      <c r="A59" s="1" t="s">
        <v>262</v>
      </c>
      <c r="B59" s="2">
        <v>46382</v>
      </c>
      <c r="C59">
        <v>2026</v>
      </c>
      <c r="D59" s="1" t="s">
        <v>263</v>
      </c>
      <c r="E59" s="1" t="s">
        <v>264</v>
      </c>
      <c r="F59" s="1" t="s">
        <v>265</v>
      </c>
      <c r="G59" s="1" t="s">
        <v>266</v>
      </c>
      <c r="H59" s="1" t="s">
        <v>59</v>
      </c>
      <c r="I59" s="1" t="s">
        <v>46</v>
      </c>
      <c r="J59">
        <v>17</v>
      </c>
      <c r="K59">
        <v>114.21</v>
      </c>
      <c r="L59">
        <v>1375.29</v>
      </c>
      <c r="M59">
        <v>1941.57</v>
      </c>
      <c r="N59">
        <v>566.28</v>
      </c>
      <c r="O59" s="1" t="s">
        <v>52</v>
      </c>
      <c r="P59" s="1" t="s">
        <v>67</v>
      </c>
      <c r="Q59">
        <v>12</v>
      </c>
    </row>
    <row r="60" spans="1:17" x14ac:dyDescent="0.25">
      <c r="A60" s="1" t="s">
        <v>267</v>
      </c>
      <c r="B60" s="2">
        <v>46181</v>
      </c>
      <c r="C60">
        <v>2026</v>
      </c>
      <c r="D60" s="1" t="s">
        <v>243</v>
      </c>
      <c r="E60" s="1" t="s">
        <v>268</v>
      </c>
      <c r="F60" s="1" t="s">
        <v>154</v>
      </c>
      <c r="G60" s="1" t="s">
        <v>155</v>
      </c>
      <c r="H60" s="1" t="s">
        <v>22</v>
      </c>
      <c r="I60" s="1" t="s">
        <v>23</v>
      </c>
      <c r="J60">
        <v>6</v>
      </c>
      <c r="K60">
        <v>244.51</v>
      </c>
      <c r="L60">
        <v>1125.9000000000001</v>
      </c>
      <c r="M60">
        <v>1467.06</v>
      </c>
      <c r="N60">
        <v>341.15999999999985</v>
      </c>
      <c r="O60" s="1" t="s">
        <v>47</v>
      </c>
      <c r="P60" s="1" t="s">
        <v>171</v>
      </c>
      <c r="Q60">
        <v>6</v>
      </c>
    </row>
    <row r="61" spans="1:17" x14ac:dyDescent="0.25">
      <c r="A61" s="1" t="s">
        <v>269</v>
      </c>
      <c r="B61" s="2">
        <v>46058</v>
      </c>
      <c r="C61">
        <v>2026</v>
      </c>
      <c r="D61" s="1" t="s">
        <v>167</v>
      </c>
      <c r="E61" s="1" t="s">
        <v>217</v>
      </c>
      <c r="F61" s="1" t="s">
        <v>37</v>
      </c>
      <c r="G61" s="1" t="s">
        <v>38</v>
      </c>
      <c r="H61" s="1" t="s">
        <v>39</v>
      </c>
      <c r="I61" s="1" t="s">
        <v>31</v>
      </c>
      <c r="J61">
        <v>5</v>
      </c>
      <c r="K61">
        <v>267.2</v>
      </c>
      <c r="L61">
        <v>807.44</v>
      </c>
      <c r="M61">
        <v>1336</v>
      </c>
      <c r="N61">
        <v>528.55999999999995</v>
      </c>
      <c r="O61" s="1" t="s">
        <v>32</v>
      </c>
      <c r="P61" s="1" t="s">
        <v>84</v>
      </c>
      <c r="Q61">
        <v>2</v>
      </c>
    </row>
    <row r="62" spans="1:17" x14ac:dyDescent="0.25">
      <c r="A62" s="1" t="s">
        <v>270</v>
      </c>
      <c r="B62" s="2">
        <v>46186</v>
      </c>
      <c r="C62">
        <v>2026</v>
      </c>
      <c r="D62" s="1" t="s">
        <v>129</v>
      </c>
      <c r="E62" s="1" t="s">
        <v>271</v>
      </c>
      <c r="F62" s="1" t="s">
        <v>257</v>
      </c>
      <c r="G62" s="1" t="s">
        <v>258</v>
      </c>
      <c r="H62" s="1" t="s">
        <v>39</v>
      </c>
      <c r="I62" s="1" t="s">
        <v>23</v>
      </c>
      <c r="J62">
        <v>20</v>
      </c>
      <c r="K62">
        <v>325.04000000000002</v>
      </c>
      <c r="L62">
        <v>3717.21</v>
      </c>
      <c r="M62">
        <v>6500.8</v>
      </c>
      <c r="N62">
        <v>2783.59</v>
      </c>
      <c r="O62" s="1" t="s">
        <v>47</v>
      </c>
      <c r="P62" s="1" t="s">
        <v>171</v>
      </c>
      <c r="Q62">
        <v>6</v>
      </c>
    </row>
    <row r="63" spans="1:17" x14ac:dyDescent="0.25">
      <c r="A63" s="1" t="s">
        <v>272</v>
      </c>
      <c r="B63" s="2">
        <v>46269</v>
      </c>
      <c r="C63">
        <v>2026</v>
      </c>
      <c r="D63" s="1" t="s">
        <v>273</v>
      </c>
      <c r="E63" s="1" t="s">
        <v>274</v>
      </c>
      <c r="F63" s="1" t="s">
        <v>43</v>
      </c>
      <c r="G63" s="1" t="s">
        <v>44</v>
      </c>
      <c r="H63" s="1" t="s">
        <v>45</v>
      </c>
      <c r="I63" s="1" t="s">
        <v>31</v>
      </c>
      <c r="J63">
        <v>15</v>
      </c>
      <c r="K63">
        <v>272.16000000000003</v>
      </c>
      <c r="L63">
        <v>2496.39</v>
      </c>
      <c r="M63">
        <v>4082.4000000000005</v>
      </c>
      <c r="N63">
        <v>1586.0100000000007</v>
      </c>
      <c r="O63" s="1" t="s">
        <v>24</v>
      </c>
      <c r="P63" s="1" t="s">
        <v>61</v>
      </c>
      <c r="Q63">
        <v>9</v>
      </c>
    </row>
    <row r="64" spans="1:17" x14ac:dyDescent="0.25">
      <c r="A64" s="1" t="s">
        <v>275</v>
      </c>
      <c r="B64" s="2">
        <v>46115</v>
      </c>
      <c r="C64">
        <v>2026</v>
      </c>
      <c r="D64" s="1" t="s">
        <v>276</v>
      </c>
      <c r="E64" s="1" t="s">
        <v>277</v>
      </c>
      <c r="F64" s="1" t="s">
        <v>57</v>
      </c>
      <c r="G64" s="1" t="s">
        <v>58</v>
      </c>
      <c r="H64" s="1" t="s">
        <v>59</v>
      </c>
      <c r="I64" s="1" t="s">
        <v>60</v>
      </c>
      <c r="J64">
        <v>16</v>
      </c>
      <c r="K64">
        <v>328.88</v>
      </c>
      <c r="L64">
        <v>3220.64</v>
      </c>
      <c r="M64">
        <v>5262.08</v>
      </c>
      <c r="N64">
        <v>2041.44</v>
      </c>
      <c r="O64" s="1" t="s">
        <v>47</v>
      </c>
      <c r="P64" s="1" t="s">
        <v>48</v>
      </c>
      <c r="Q64">
        <v>4</v>
      </c>
    </row>
    <row r="65" spans="1:17" x14ac:dyDescent="0.25">
      <c r="A65" s="1" t="s">
        <v>278</v>
      </c>
      <c r="B65" s="2">
        <v>46066</v>
      </c>
      <c r="C65">
        <v>2026</v>
      </c>
      <c r="D65" s="1" t="s">
        <v>279</v>
      </c>
      <c r="E65" s="1" t="s">
        <v>182</v>
      </c>
      <c r="F65" s="1" t="s">
        <v>65</v>
      </c>
      <c r="G65" s="1" t="s">
        <v>66</v>
      </c>
      <c r="H65" s="1" t="s">
        <v>59</v>
      </c>
      <c r="I65" s="1" t="s">
        <v>46</v>
      </c>
      <c r="J65">
        <v>8</v>
      </c>
      <c r="K65">
        <v>43.03</v>
      </c>
      <c r="L65">
        <v>218.34</v>
      </c>
      <c r="M65">
        <v>344.24</v>
      </c>
      <c r="N65">
        <v>125.9</v>
      </c>
      <c r="O65" s="1" t="s">
        <v>32</v>
      </c>
      <c r="P65" s="1" t="s">
        <v>84</v>
      </c>
      <c r="Q65">
        <v>2</v>
      </c>
    </row>
    <row r="66" spans="1:17" x14ac:dyDescent="0.25">
      <c r="A66" s="1" t="s">
        <v>280</v>
      </c>
      <c r="B66" s="2">
        <v>46334</v>
      </c>
      <c r="C66">
        <v>2026</v>
      </c>
      <c r="D66" s="1" t="s">
        <v>281</v>
      </c>
      <c r="E66" s="1" t="s">
        <v>282</v>
      </c>
      <c r="F66" s="1" t="s">
        <v>206</v>
      </c>
      <c r="G66" s="1" t="s">
        <v>207</v>
      </c>
      <c r="H66" s="1" t="s">
        <v>39</v>
      </c>
      <c r="I66" s="1" t="s">
        <v>46</v>
      </c>
      <c r="J66">
        <v>11</v>
      </c>
      <c r="K66">
        <v>258.91000000000003</v>
      </c>
      <c r="L66">
        <v>1655.69</v>
      </c>
      <c r="M66">
        <v>2848.01</v>
      </c>
      <c r="N66">
        <v>1192.3200000000002</v>
      </c>
      <c r="O66" s="1" t="s">
        <v>52</v>
      </c>
      <c r="P66" s="1" t="s">
        <v>134</v>
      </c>
      <c r="Q66">
        <v>11</v>
      </c>
    </row>
    <row r="67" spans="1:17" x14ac:dyDescent="0.25">
      <c r="A67" s="1" t="s">
        <v>283</v>
      </c>
      <c r="B67" s="2">
        <v>46044</v>
      </c>
      <c r="C67">
        <v>2026</v>
      </c>
      <c r="D67" s="1" t="s">
        <v>284</v>
      </c>
      <c r="E67" s="1" t="s">
        <v>285</v>
      </c>
      <c r="F67" s="1" t="s">
        <v>202</v>
      </c>
      <c r="G67" s="1" t="s">
        <v>203</v>
      </c>
      <c r="H67" s="1" t="s">
        <v>111</v>
      </c>
      <c r="I67" s="1" t="s">
        <v>31</v>
      </c>
      <c r="J67">
        <v>12</v>
      </c>
      <c r="K67">
        <v>30.01</v>
      </c>
      <c r="L67">
        <v>224.36</v>
      </c>
      <c r="M67">
        <v>360.12</v>
      </c>
      <c r="N67">
        <v>135.76</v>
      </c>
      <c r="O67" s="1" t="s">
        <v>32</v>
      </c>
      <c r="P67" s="1" t="s">
        <v>33</v>
      </c>
      <c r="Q67">
        <v>1</v>
      </c>
    </row>
    <row r="68" spans="1:17" x14ac:dyDescent="0.25">
      <c r="A68" s="1" t="s">
        <v>286</v>
      </c>
      <c r="B68" s="2">
        <v>46199</v>
      </c>
      <c r="C68">
        <v>2026</v>
      </c>
      <c r="D68" s="1" t="s">
        <v>287</v>
      </c>
      <c r="E68" s="1" t="s">
        <v>239</v>
      </c>
      <c r="F68" s="1" t="s">
        <v>202</v>
      </c>
      <c r="G68" s="1" t="s">
        <v>203</v>
      </c>
      <c r="H68" s="1" t="s">
        <v>111</v>
      </c>
      <c r="I68" s="1" t="s">
        <v>31</v>
      </c>
      <c r="J68">
        <v>14</v>
      </c>
      <c r="K68">
        <v>301.13</v>
      </c>
      <c r="L68">
        <v>2469.3200000000002</v>
      </c>
      <c r="M68">
        <v>4215.82</v>
      </c>
      <c r="N68">
        <v>1746.4999999999995</v>
      </c>
      <c r="O68" s="1" t="s">
        <v>47</v>
      </c>
      <c r="P68" s="1" t="s">
        <v>171</v>
      </c>
      <c r="Q68">
        <v>6</v>
      </c>
    </row>
    <row r="69" spans="1:17" x14ac:dyDescent="0.25">
      <c r="A69" s="1" t="s">
        <v>288</v>
      </c>
      <c r="B69" s="2">
        <v>46299</v>
      </c>
      <c r="C69">
        <v>2026</v>
      </c>
      <c r="D69" s="1" t="s">
        <v>99</v>
      </c>
      <c r="E69" s="1" t="s">
        <v>289</v>
      </c>
      <c r="F69" s="1" t="s">
        <v>57</v>
      </c>
      <c r="G69" s="1" t="s">
        <v>58</v>
      </c>
      <c r="H69" s="1" t="s">
        <v>59</v>
      </c>
      <c r="I69" s="1" t="s">
        <v>46</v>
      </c>
      <c r="J69">
        <v>4</v>
      </c>
      <c r="K69">
        <v>187.73</v>
      </c>
      <c r="L69">
        <v>484.83</v>
      </c>
      <c r="M69">
        <v>750.92</v>
      </c>
      <c r="N69">
        <v>266.08999999999997</v>
      </c>
      <c r="O69" s="1" t="s">
        <v>52</v>
      </c>
      <c r="P69" s="1" t="s">
        <v>53</v>
      </c>
      <c r="Q69">
        <v>10</v>
      </c>
    </row>
    <row r="70" spans="1:17" x14ac:dyDescent="0.25">
      <c r="A70" s="1" t="s">
        <v>290</v>
      </c>
      <c r="B70" s="2">
        <v>46217</v>
      </c>
      <c r="C70">
        <v>2026</v>
      </c>
      <c r="D70" s="1" t="s">
        <v>291</v>
      </c>
      <c r="E70" s="1" t="s">
        <v>289</v>
      </c>
      <c r="F70" s="1" t="s">
        <v>245</v>
      </c>
      <c r="G70" s="1" t="s">
        <v>246</v>
      </c>
      <c r="H70" s="1" t="s">
        <v>39</v>
      </c>
      <c r="I70" s="1" t="s">
        <v>46</v>
      </c>
      <c r="J70">
        <v>14</v>
      </c>
      <c r="K70">
        <v>333.08</v>
      </c>
      <c r="L70">
        <v>3518.84</v>
      </c>
      <c r="M70">
        <v>4663.12</v>
      </c>
      <c r="N70">
        <v>1144.2799999999997</v>
      </c>
      <c r="O70" s="1" t="s">
        <v>24</v>
      </c>
      <c r="P70" s="1" t="s">
        <v>25</v>
      </c>
      <c r="Q70">
        <v>7</v>
      </c>
    </row>
    <row r="71" spans="1:17" x14ac:dyDescent="0.25">
      <c r="A71" s="1" t="s">
        <v>292</v>
      </c>
      <c r="B71" s="2">
        <v>46030</v>
      </c>
      <c r="C71">
        <v>2026</v>
      </c>
      <c r="D71" s="1" t="s">
        <v>80</v>
      </c>
      <c r="E71" s="1" t="s">
        <v>293</v>
      </c>
      <c r="F71" s="1" t="s">
        <v>294</v>
      </c>
      <c r="G71" s="1" t="s">
        <v>295</v>
      </c>
      <c r="H71" s="1" t="s">
        <v>236</v>
      </c>
      <c r="I71" s="1" t="s">
        <v>60</v>
      </c>
      <c r="J71">
        <v>14</v>
      </c>
      <c r="K71">
        <v>498.2</v>
      </c>
      <c r="L71">
        <v>4789.07</v>
      </c>
      <c r="M71">
        <v>6974.8</v>
      </c>
      <c r="N71">
        <v>2185.7300000000005</v>
      </c>
      <c r="O71" s="1" t="s">
        <v>32</v>
      </c>
      <c r="P71" s="1" t="s">
        <v>33</v>
      </c>
      <c r="Q71">
        <v>1</v>
      </c>
    </row>
    <row r="72" spans="1:17" x14ac:dyDescent="0.25">
      <c r="A72" s="1" t="s">
        <v>296</v>
      </c>
      <c r="B72" s="2">
        <v>46377</v>
      </c>
      <c r="C72">
        <v>2026</v>
      </c>
      <c r="D72" s="1" t="s">
        <v>297</v>
      </c>
      <c r="E72" s="1" t="s">
        <v>143</v>
      </c>
      <c r="F72" s="1" t="s">
        <v>76</v>
      </c>
      <c r="G72" s="1" t="s">
        <v>77</v>
      </c>
      <c r="H72" s="1" t="s">
        <v>78</v>
      </c>
      <c r="I72" s="1" t="s">
        <v>31</v>
      </c>
      <c r="J72">
        <v>14</v>
      </c>
      <c r="K72">
        <v>118.82</v>
      </c>
      <c r="L72">
        <v>857.4</v>
      </c>
      <c r="M72">
        <v>1663.48</v>
      </c>
      <c r="N72">
        <v>806.08</v>
      </c>
      <c r="O72" s="1" t="s">
        <v>52</v>
      </c>
      <c r="P72" s="1" t="s">
        <v>67</v>
      </c>
      <c r="Q72">
        <v>12</v>
      </c>
    </row>
    <row r="73" spans="1:17" x14ac:dyDescent="0.25">
      <c r="A73" s="1" t="s">
        <v>298</v>
      </c>
      <c r="B73" s="2">
        <v>46209</v>
      </c>
      <c r="C73">
        <v>2026</v>
      </c>
      <c r="D73" s="1" t="s">
        <v>103</v>
      </c>
      <c r="E73" s="1" t="s">
        <v>184</v>
      </c>
      <c r="F73" s="1" t="s">
        <v>164</v>
      </c>
      <c r="G73" s="1" t="s">
        <v>165</v>
      </c>
      <c r="H73" s="1" t="s">
        <v>22</v>
      </c>
      <c r="I73" s="1" t="s">
        <v>60</v>
      </c>
      <c r="J73">
        <v>10</v>
      </c>
      <c r="K73">
        <v>343.27</v>
      </c>
      <c r="L73">
        <v>2108.08</v>
      </c>
      <c r="M73">
        <v>3432.7</v>
      </c>
      <c r="N73">
        <v>1324.62</v>
      </c>
      <c r="O73" s="1" t="s">
        <v>24</v>
      </c>
      <c r="P73" s="1" t="s">
        <v>25</v>
      </c>
      <c r="Q73">
        <v>7</v>
      </c>
    </row>
    <row r="74" spans="1:17" x14ac:dyDescent="0.25">
      <c r="A74" s="1" t="s">
        <v>299</v>
      </c>
      <c r="B74" s="2">
        <v>46084</v>
      </c>
      <c r="C74">
        <v>2026</v>
      </c>
      <c r="D74" s="1" t="s">
        <v>300</v>
      </c>
      <c r="E74" s="1" t="s">
        <v>301</v>
      </c>
      <c r="F74" s="1" t="s">
        <v>82</v>
      </c>
      <c r="G74" s="1" t="s">
        <v>83</v>
      </c>
      <c r="H74" s="1" t="s">
        <v>45</v>
      </c>
      <c r="I74" s="1" t="s">
        <v>23</v>
      </c>
      <c r="J74">
        <v>3</v>
      </c>
      <c r="K74">
        <v>396.35</v>
      </c>
      <c r="L74">
        <v>768.01</v>
      </c>
      <c r="M74">
        <v>1189.0500000000002</v>
      </c>
      <c r="N74">
        <v>421.04000000000019</v>
      </c>
      <c r="O74" s="1" t="s">
        <v>32</v>
      </c>
      <c r="P74" s="1" t="s">
        <v>88</v>
      </c>
      <c r="Q74">
        <v>3</v>
      </c>
    </row>
    <row r="75" spans="1:17" x14ac:dyDescent="0.25">
      <c r="A75" s="1" t="s">
        <v>302</v>
      </c>
      <c r="B75" s="2">
        <v>46291</v>
      </c>
      <c r="C75">
        <v>2026</v>
      </c>
      <c r="D75" s="1" t="s">
        <v>136</v>
      </c>
      <c r="E75" s="1" t="s">
        <v>75</v>
      </c>
      <c r="F75" s="1" t="s">
        <v>82</v>
      </c>
      <c r="G75" s="1" t="s">
        <v>83</v>
      </c>
      <c r="H75" s="1" t="s">
        <v>45</v>
      </c>
      <c r="I75" s="1" t="s">
        <v>31</v>
      </c>
      <c r="J75">
        <v>10</v>
      </c>
      <c r="K75">
        <v>229.1</v>
      </c>
      <c r="L75">
        <v>1720.56</v>
      </c>
      <c r="M75">
        <v>2291</v>
      </c>
      <c r="N75">
        <v>570.44000000000005</v>
      </c>
      <c r="O75" s="1" t="s">
        <v>24</v>
      </c>
      <c r="P75" s="1" t="s">
        <v>61</v>
      </c>
      <c r="Q75">
        <v>9</v>
      </c>
    </row>
    <row r="76" spans="1:17" x14ac:dyDescent="0.25">
      <c r="A76" s="1" t="s">
        <v>303</v>
      </c>
      <c r="B76" s="2">
        <v>46141</v>
      </c>
      <c r="C76">
        <v>2026</v>
      </c>
      <c r="D76" s="1" t="s">
        <v>304</v>
      </c>
      <c r="E76" s="1" t="s">
        <v>305</v>
      </c>
      <c r="F76" s="1" t="s">
        <v>234</v>
      </c>
      <c r="G76" s="1" t="s">
        <v>235</v>
      </c>
      <c r="H76" s="1" t="s">
        <v>236</v>
      </c>
      <c r="I76" s="1" t="s">
        <v>31</v>
      </c>
      <c r="J76">
        <v>16</v>
      </c>
      <c r="K76">
        <v>186.91</v>
      </c>
      <c r="L76">
        <v>2156.7199999999998</v>
      </c>
      <c r="M76">
        <v>2990.56</v>
      </c>
      <c r="N76">
        <v>833.84000000000015</v>
      </c>
      <c r="O76" s="1" t="s">
        <v>47</v>
      </c>
      <c r="P76" s="1" t="s">
        <v>48</v>
      </c>
      <c r="Q76">
        <v>4</v>
      </c>
    </row>
    <row r="77" spans="1:17" x14ac:dyDescent="0.25">
      <c r="A77" s="1" t="s">
        <v>306</v>
      </c>
      <c r="B77" s="2">
        <v>46275</v>
      </c>
      <c r="C77">
        <v>2026</v>
      </c>
      <c r="D77" s="1" t="s">
        <v>307</v>
      </c>
      <c r="E77" s="1" t="s">
        <v>308</v>
      </c>
      <c r="F77" s="1" t="s">
        <v>309</v>
      </c>
      <c r="G77" s="1" t="s">
        <v>310</v>
      </c>
      <c r="H77" s="1" t="s">
        <v>78</v>
      </c>
      <c r="I77" s="1" t="s">
        <v>60</v>
      </c>
      <c r="J77">
        <v>15</v>
      </c>
      <c r="K77">
        <v>52.92</v>
      </c>
      <c r="L77">
        <v>441.41</v>
      </c>
      <c r="M77">
        <v>793.80000000000007</v>
      </c>
      <c r="N77">
        <v>352.39000000000004</v>
      </c>
      <c r="O77" s="1" t="s">
        <v>24</v>
      </c>
      <c r="P77" s="1" t="s">
        <v>61</v>
      </c>
      <c r="Q77">
        <v>9</v>
      </c>
    </row>
    <row r="78" spans="1:17" x14ac:dyDescent="0.25">
      <c r="A78" s="1" t="s">
        <v>311</v>
      </c>
      <c r="B78" s="2">
        <v>46149</v>
      </c>
      <c r="C78">
        <v>2026</v>
      </c>
      <c r="D78" s="1" t="s">
        <v>312</v>
      </c>
      <c r="E78" s="1" t="s">
        <v>313</v>
      </c>
      <c r="F78" s="1" t="s">
        <v>144</v>
      </c>
      <c r="G78" s="1" t="s">
        <v>145</v>
      </c>
      <c r="H78" s="1" t="s">
        <v>39</v>
      </c>
      <c r="I78" s="1" t="s">
        <v>60</v>
      </c>
      <c r="J78">
        <v>19</v>
      </c>
      <c r="K78">
        <v>278.99</v>
      </c>
      <c r="L78">
        <v>3712.3</v>
      </c>
      <c r="M78">
        <v>5300.81</v>
      </c>
      <c r="N78">
        <v>1588.5100000000002</v>
      </c>
      <c r="O78" s="1" t="s">
        <v>47</v>
      </c>
      <c r="P78" s="1" t="s">
        <v>92</v>
      </c>
      <c r="Q78">
        <v>5</v>
      </c>
    </row>
    <row r="79" spans="1:17" x14ac:dyDescent="0.25">
      <c r="A79" s="1" t="s">
        <v>314</v>
      </c>
      <c r="B79" s="2">
        <v>46178</v>
      </c>
      <c r="C79">
        <v>2026</v>
      </c>
      <c r="D79" s="1" t="s">
        <v>315</v>
      </c>
      <c r="E79" s="1" t="s">
        <v>316</v>
      </c>
      <c r="F79" s="1" t="s">
        <v>154</v>
      </c>
      <c r="G79" s="1" t="s">
        <v>155</v>
      </c>
      <c r="H79" s="1" t="s">
        <v>22</v>
      </c>
      <c r="I79" s="1" t="s">
        <v>23</v>
      </c>
      <c r="J79">
        <v>19</v>
      </c>
      <c r="K79">
        <v>171.6</v>
      </c>
      <c r="L79">
        <v>2650.42</v>
      </c>
      <c r="M79">
        <v>3260.4</v>
      </c>
      <c r="N79">
        <v>609.98</v>
      </c>
      <c r="O79" s="1" t="s">
        <v>47</v>
      </c>
      <c r="P79" s="1" t="s">
        <v>171</v>
      </c>
      <c r="Q79">
        <v>6</v>
      </c>
    </row>
    <row r="80" spans="1:17" x14ac:dyDescent="0.25">
      <c r="A80" s="1" t="s">
        <v>317</v>
      </c>
      <c r="B80" s="2">
        <v>46132</v>
      </c>
      <c r="C80">
        <v>2026</v>
      </c>
      <c r="D80" s="1" t="s">
        <v>219</v>
      </c>
      <c r="E80" s="1" t="s">
        <v>318</v>
      </c>
      <c r="F80" s="1" t="s">
        <v>29</v>
      </c>
      <c r="G80" s="1" t="s">
        <v>30</v>
      </c>
      <c r="H80" s="1" t="s">
        <v>22</v>
      </c>
      <c r="I80" s="1" t="s">
        <v>46</v>
      </c>
      <c r="J80">
        <v>2</v>
      </c>
      <c r="K80">
        <v>346.03</v>
      </c>
      <c r="L80">
        <v>505.71</v>
      </c>
      <c r="M80">
        <v>692.06</v>
      </c>
      <c r="N80">
        <v>186.34999999999997</v>
      </c>
      <c r="O80" s="1" t="s">
        <v>47</v>
      </c>
      <c r="P80" s="1" t="s">
        <v>48</v>
      </c>
      <c r="Q80">
        <v>4</v>
      </c>
    </row>
    <row r="81" spans="1:17" x14ac:dyDescent="0.25">
      <c r="A81" s="1" t="s">
        <v>319</v>
      </c>
      <c r="B81" s="2">
        <v>46074</v>
      </c>
      <c r="C81">
        <v>2026</v>
      </c>
      <c r="D81" s="1" t="s">
        <v>287</v>
      </c>
      <c r="E81" s="1" t="s">
        <v>320</v>
      </c>
      <c r="F81" s="1" t="s">
        <v>57</v>
      </c>
      <c r="G81" s="1" t="s">
        <v>58</v>
      </c>
      <c r="H81" s="1" t="s">
        <v>59</v>
      </c>
      <c r="I81" s="1" t="s">
        <v>60</v>
      </c>
      <c r="J81">
        <v>10</v>
      </c>
      <c r="K81">
        <v>112.32</v>
      </c>
      <c r="L81">
        <v>712.9</v>
      </c>
      <c r="M81">
        <v>1123.1999999999998</v>
      </c>
      <c r="N81">
        <v>410.29999999999984</v>
      </c>
      <c r="O81" s="1" t="s">
        <v>32</v>
      </c>
      <c r="P81" s="1" t="s">
        <v>84</v>
      </c>
      <c r="Q81">
        <v>2</v>
      </c>
    </row>
    <row r="82" spans="1:17" x14ac:dyDescent="0.25">
      <c r="A82" s="1" t="s">
        <v>321</v>
      </c>
      <c r="B82" s="2">
        <v>46030</v>
      </c>
      <c r="C82">
        <v>2026</v>
      </c>
      <c r="D82" s="1" t="s">
        <v>99</v>
      </c>
      <c r="E82" s="1" t="s">
        <v>70</v>
      </c>
      <c r="F82" s="1" t="s">
        <v>82</v>
      </c>
      <c r="G82" s="1" t="s">
        <v>83</v>
      </c>
      <c r="H82" s="1" t="s">
        <v>45</v>
      </c>
      <c r="I82" s="1" t="s">
        <v>31</v>
      </c>
      <c r="J82">
        <v>10</v>
      </c>
      <c r="K82">
        <v>457.33</v>
      </c>
      <c r="L82">
        <v>3420.38</v>
      </c>
      <c r="M82">
        <v>4573.3</v>
      </c>
      <c r="N82">
        <v>1152.92</v>
      </c>
      <c r="O82" s="1" t="s">
        <v>32</v>
      </c>
      <c r="P82" s="1" t="s">
        <v>33</v>
      </c>
      <c r="Q82">
        <v>1</v>
      </c>
    </row>
    <row r="83" spans="1:17" x14ac:dyDescent="0.25">
      <c r="A83" s="1" t="s">
        <v>322</v>
      </c>
      <c r="B83" s="2">
        <v>46101</v>
      </c>
      <c r="C83">
        <v>2026</v>
      </c>
      <c r="D83" s="1" t="s">
        <v>323</v>
      </c>
      <c r="E83" s="1" t="s">
        <v>324</v>
      </c>
      <c r="F83" s="1" t="s">
        <v>20</v>
      </c>
      <c r="G83" s="1" t="s">
        <v>21</v>
      </c>
      <c r="H83" s="1" t="s">
        <v>22</v>
      </c>
      <c r="I83" s="1" t="s">
        <v>60</v>
      </c>
      <c r="J83">
        <v>19</v>
      </c>
      <c r="K83">
        <v>332.94</v>
      </c>
      <c r="L83">
        <v>4662.28</v>
      </c>
      <c r="M83">
        <v>6325.86</v>
      </c>
      <c r="N83">
        <v>1663.58</v>
      </c>
      <c r="O83" s="1" t="s">
        <v>32</v>
      </c>
      <c r="P83" s="1" t="s">
        <v>88</v>
      </c>
      <c r="Q83">
        <v>3</v>
      </c>
    </row>
    <row r="84" spans="1:17" x14ac:dyDescent="0.25">
      <c r="A84" s="1" t="s">
        <v>325</v>
      </c>
      <c r="B84" s="2">
        <v>46239</v>
      </c>
      <c r="C84">
        <v>2026</v>
      </c>
      <c r="D84" s="1" t="s">
        <v>279</v>
      </c>
      <c r="E84" s="1" t="s">
        <v>326</v>
      </c>
      <c r="F84" s="1" t="s">
        <v>159</v>
      </c>
      <c r="G84" s="1" t="s">
        <v>160</v>
      </c>
      <c r="H84" s="1" t="s">
        <v>111</v>
      </c>
      <c r="I84" s="1" t="s">
        <v>23</v>
      </c>
      <c r="J84">
        <v>16</v>
      </c>
      <c r="K84">
        <v>117.48</v>
      </c>
      <c r="L84">
        <v>1093.48</v>
      </c>
      <c r="M84">
        <v>1879.68</v>
      </c>
      <c r="N84">
        <v>786.2</v>
      </c>
      <c r="O84" s="1" t="s">
        <v>24</v>
      </c>
      <c r="P84" s="1" t="s">
        <v>101</v>
      </c>
      <c r="Q84">
        <v>8</v>
      </c>
    </row>
    <row r="85" spans="1:17" x14ac:dyDescent="0.25">
      <c r="A85" s="1" t="s">
        <v>327</v>
      </c>
      <c r="B85" s="2">
        <v>46385</v>
      </c>
      <c r="C85">
        <v>2026</v>
      </c>
      <c r="D85" s="1" t="s">
        <v>27</v>
      </c>
      <c r="E85" s="1" t="s">
        <v>328</v>
      </c>
      <c r="F85" s="1" t="s">
        <v>329</v>
      </c>
      <c r="G85" s="1" t="s">
        <v>330</v>
      </c>
      <c r="H85" s="1" t="s">
        <v>78</v>
      </c>
      <c r="I85" s="1" t="s">
        <v>31</v>
      </c>
      <c r="J85">
        <v>1</v>
      </c>
      <c r="K85">
        <v>295.5</v>
      </c>
      <c r="L85">
        <v>208.4</v>
      </c>
      <c r="M85">
        <v>295.5</v>
      </c>
      <c r="N85">
        <v>87.1</v>
      </c>
      <c r="O85" s="1" t="s">
        <v>52</v>
      </c>
      <c r="P85" s="1" t="s">
        <v>67</v>
      </c>
      <c r="Q85">
        <v>12</v>
      </c>
    </row>
    <row r="86" spans="1:17" x14ac:dyDescent="0.25">
      <c r="A86" s="1" t="s">
        <v>331</v>
      </c>
      <c r="B86" s="2">
        <v>46344</v>
      </c>
      <c r="C86">
        <v>2026</v>
      </c>
      <c r="D86" s="1" t="s">
        <v>332</v>
      </c>
      <c r="E86" s="1" t="s">
        <v>253</v>
      </c>
      <c r="F86" s="1" t="s">
        <v>333</v>
      </c>
      <c r="G86" s="1" t="s">
        <v>334</v>
      </c>
      <c r="H86" s="1" t="s">
        <v>22</v>
      </c>
      <c r="I86" s="1" t="s">
        <v>60</v>
      </c>
      <c r="J86">
        <v>18</v>
      </c>
      <c r="K86">
        <v>37.06</v>
      </c>
      <c r="L86">
        <v>361.59</v>
      </c>
      <c r="M86">
        <v>667.08</v>
      </c>
      <c r="N86">
        <v>305.49000000000007</v>
      </c>
      <c r="O86" s="1" t="s">
        <v>52</v>
      </c>
      <c r="P86" s="1" t="s">
        <v>134</v>
      </c>
      <c r="Q86">
        <v>11</v>
      </c>
    </row>
    <row r="87" spans="1:17" x14ac:dyDescent="0.25">
      <c r="A87" s="1" t="s">
        <v>335</v>
      </c>
      <c r="B87" s="2">
        <v>46095</v>
      </c>
      <c r="C87">
        <v>2026</v>
      </c>
      <c r="D87" s="1" t="s">
        <v>63</v>
      </c>
      <c r="E87" s="1" t="s">
        <v>108</v>
      </c>
      <c r="F87" s="1" t="s">
        <v>231</v>
      </c>
      <c r="G87" s="1" t="s">
        <v>232</v>
      </c>
      <c r="H87" s="1" t="s">
        <v>59</v>
      </c>
      <c r="I87" s="1" t="s">
        <v>60</v>
      </c>
      <c r="J87">
        <v>6</v>
      </c>
      <c r="K87">
        <v>335.71</v>
      </c>
      <c r="L87">
        <v>1168.0899999999999</v>
      </c>
      <c r="M87">
        <v>2014.2599999999998</v>
      </c>
      <c r="N87">
        <v>846.16999999999985</v>
      </c>
      <c r="O87" s="1" t="s">
        <v>32</v>
      </c>
      <c r="P87" s="1" t="s">
        <v>88</v>
      </c>
      <c r="Q87">
        <v>3</v>
      </c>
    </row>
    <row r="88" spans="1:17" x14ac:dyDescent="0.25">
      <c r="A88" s="1" t="s">
        <v>336</v>
      </c>
      <c r="B88" s="2">
        <v>46247</v>
      </c>
      <c r="C88">
        <v>2026</v>
      </c>
      <c r="D88" s="1" t="s">
        <v>74</v>
      </c>
      <c r="E88" s="1" t="s">
        <v>36</v>
      </c>
      <c r="F88" s="1" t="s">
        <v>197</v>
      </c>
      <c r="G88" s="1" t="s">
        <v>198</v>
      </c>
      <c r="H88" s="1" t="s">
        <v>59</v>
      </c>
      <c r="I88" s="1" t="s">
        <v>46</v>
      </c>
      <c r="J88">
        <v>14</v>
      </c>
      <c r="K88">
        <v>438.42</v>
      </c>
      <c r="L88">
        <v>3866.28</v>
      </c>
      <c r="M88">
        <v>6137.88</v>
      </c>
      <c r="N88">
        <v>2271.6</v>
      </c>
      <c r="O88" s="1" t="s">
        <v>24</v>
      </c>
      <c r="P88" s="1" t="s">
        <v>101</v>
      </c>
      <c r="Q88">
        <v>8</v>
      </c>
    </row>
    <row r="89" spans="1:17" x14ac:dyDescent="0.25">
      <c r="A89" s="1" t="s">
        <v>337</v>
      </c>
      <c r="B89" s="2">
        <v>46364</v>
      </c>
      <c r="C89">
        <v>2026</v>
      </c>
      <c r="D89" s="1" t="s">
        <v>167</v>
      </c>
      <c r="E89" s="1" t="s">
        <v>338</v>
      </c>
      <c r="F89" s="1" t="s">
        <v>339</v>
      </c>
      <c r="G89" s="1" t="s">
        <v>340</v>
      </c>
      <c r="H89" s="1" t="s">
        <v>78</v>
      </c>
      <c r="I89" s="1" t="s">
        <v>60</v>
      </c>
      <c r="J89">
        <v>1</v>
      </c>
      <c r="K89">
        <v>451.39</v>
      </c>
      <c r="L89">
        <v>312.98</v>
      </c>
      <c r="M89">
        <v>451.39</v>
      </c>
      <c r="N89">
        <v>138.40999999999997</v>
      </c>
      <c r="O89" s="1" t="s">
        <v>52</v>
      </c>
      <c r="P89" s="1" t="s">
        <v>67</v>
      </c>
      <c r="Q89">
        <v>12</v>
      </c>
    </row>
    <row r="90" spans="1:17" x14ac:dyDescent="0.25">
      <c r="A90" s="1" t="s">
        <v>341</v>
      </c>
      <c r="B90" s="2">
        <v>46277</v>
      </c>
      <c r="C90">
        <v>2026</v>
      </c>
      <c r="D90" s="1" t="s">
        <v>255</v>
      </c>
      <c r="E90" s="1" t="s">
        <v>318</v>
      </c>
      <c r="F90" s="1" t="s">
        <v>82</v>
      </c>
      <c r="G90" s="1" t="s">
        <v>83</v>
      </c>
      <c r="H90" s="1" t="s">
        <v>45</v>
      </c>
      <c r="I90" s="1" t="s">
        <v>46</v>
      </c>
      <c r="J90">
        <v>11</v>
      </c>
      <c r="K90">
        <v>373.71</v>
      </c>
      <c r="L90">
        <v>2576.09</v>
      </c>
      <c r="M90">
        <v>4110.8099999999995</v>
      </c>
      <c r="N90">
        <v>1534.7199999999993</v>
      </c>
      <c r="O90" s="1" t="s">
        <v>24</v>
      </c>
      <c r="P90" s="1" t="s">
        <v>61</v>
      </c>
      <c r="Q90">
        <v>9</v>
      </c>
    </row>
    <row r="91" spans="1:17" x14ac:dyDescent="0.25">
      <c r="A91" s="1" t="s">
        <v>342</v>
      </c>
      <c r="B91" s="2">
        <v>46285</v>
      </c>
      <c r="C91">
        <v>2026</v>
      </c>
      <c r="D91" s="1" t="s">
        <v>113</v>
      </c>
      <c r="E91" s="1" t="s">
        <v>343</v>
      </c>
      <c r="F91" s="1" t="s">
        <v>71</v>
      </c>
      <c r="G91" s="1" t="s">
        <v>72</v>
      </c>
      <c r="H91" s="1" t="s">
        <v>22</v>
      </c>
      <c r="I91" s="1" t="s">
        <v>23</v>
      </c>
      <c r="J91">
        <v>18</v>
      </c>
      <c r="K91">
        <v>234.05</v>
      </c>
      <c r="L91">
        <v>2297.8000000000002</v>
      </c>
      <c r="M91">
        <v>4212.9000000000005</v>
      </c>
      <c r="N91">
        <v>1915.1000000000004</v>
      </c>
      <c r="O91" s="1" t="s">
        <v>24</v>
      </c>
      <c r="P91" s="1" t="s">
        <v>61</v>
      </c>
      <c r="Q91">
        <v>9</v>
      </c>
    </row>
    <row r="92" spans="1:17" x14ac:dyDescent="0.25">
      <c r="A92" s="1" t="s">
        <v>344</v>
      </c>
      <c r="B92" s="2">
        <v>46121</v>
      </c>
      <c r="C92">
        <v>2026</v>
      </c>
      <c r="D92" s="1" t="s">
        <v>74</v>
      </c>
      <c r="E92" s="1" t="s">
        <v>345</v>
      </c>
      <c r="F92" s="1" t="s">
        <v>231</v>
      </c>
      <c r="G92" s="1" t="s">
        <v>232</v>
      </c>
      <c r="H92" s="1" t="s">
        <v>59</v>
      </c>
      <c r="I92" s="1" t="s">
        <v>60</v>
      </c>
      <c r="J92">
        <v>14</v>
      </c>
      <c r="K92">
        <v>461</v>
      </c>
      <c r="L92">
        <v>4282.99</v>
      </c>
      <c r="M92">
        <v>6454</v>
      </c>
      <c r="N92">
        <v>2171.0100000000002</v>
      </c>
      <c r="O92" s="1" t="s">
        <v>47</v>
      </c>
      <c r="P92" s="1" t="s">
        <v>48</v>
      </c>
      <c r="Q92">
        <v>4</v>
      </c>
    </row>
    <row r="93" spans="1:17" x14ac:dyDescent="0.25">
      <c r="A93" s="1" t="s">
        <v>346</v>
      </c>
      <c r="B93" s="2">
        <v>46317</v>
      </c>
      <c r="C93">
        <v>2026</v>
      </c>
      <c r="D93" s="1" t="s">
        <v>157</v>
      </c>
      <c r="E93" s="1" t="s">
        <v>347</v>
      </c>
      <c r="F93" s="1" t="s">
        <v>29</v>
      </c>
      <c r="G93" s="1" t="s">
        <v>30</v>
      </c>
      <c r="H93" s="1" t="s">
        <v>22</v>
      </c>
      <c r="I93" s="1" t="s">
        <v>60</v>
      </c>
      <c r="J93">
        <v>14</v>
      </c>
      <c r="K93">
        <v>463.66</v>
      </c>
      <c r="L93">
        <v>4907.8</v>
      </c>
      <c r="M93">
        <v>6491.2400000000007</v>
      </c>
      <c r="N93">
        <v>1583.4400000000005</v>
      </c>
      <c r="O93" s="1" t="s">
        <v>52</v>
      </c>
      <c r="P93" s="1" t="s">
        <v>53</v>
      </c>
      <c r="Q93">
        <v>10</v>
      </c>
    </row>
    <row r="94" spans="1:17" x14ac:dyDescent="0.25">
      <c r="A94" s="1" t="s">
        <v>348</v>
      </c>
      <c r="B94" s="2">
        <v>46248</v>
      </c>
      <c r="C94">
        <v>2026</v>
      </c>
      <c r="D94" s="1" t="s">
        <v>349</v>
      </c>
      <c r="E94" s="1" t="s">
        <v>75</v>
      </c>
      <c r="F94" s="1" t="s">
        <v>179</v>
      </c>
      <c r="G94" s="1" t="s">
        <v>180</v>
      </c>
      <c r="H94" s="1" t="s">
        <v>78</v>
      </c>
      <c r="I94" s="1" t="s">
        <v>23</v>
      </c>
      <c r="J94">
        <v>9</v>
      </c>
      <c r="K94">
        <v>449.64</v>
      </c>
      <c r="L94">
        <v>2589.48</v>
      </c>
      <c r="M94">
        <v>4046.7599999999998</v>
      </c>
      <c r="N94">
        <v>1457.2799999999997</v>
      </c>
      <c r="O94" s="1" t="s">
        <v>24</v>
      </c>
      <c r="P94" s="1" t="s">
        <v>101</v>
      </c>
      <c r="Q94">
        <v>8</v>
      </c>
    </row>
    <row r="95" spans="1:17" x14ac:dyDescent="0.25">
      <c r="A95" s="1" t="s">
        <v>350</v>
      </c>
      <c r="B95" s="2">
        <v>46260</v>
      </c>
      <c r="C95">
        <v>2026</v>
      </c>
      <c r="D95" s="1" t="s">
        <v>281</v>
      </c>
      <c r="E95" s="1" t="s">
        <v>351</v>
      </c>
      <c r="F95" s="1" t="s">
        <v>329</v>
      </c>
      <c r="G95" s="1" t="s">
        <v>330</v>
      </c>
      <c r="H95" s="1" t="s">
        <v>78</v>
      </c>
      <c r="I95" s="1" t="s">
        <v>60</v>
      </c>
      <c r="J95">
        <v>13</v>
      </c>
      <c r="K95">
        <v>56.03</v>
      </c>
      <c r="L95">
        <v>551.46</v>
      </c>
      <c r="M95">
        <v>728.39</v>
      </c>
      <c r="N95">
        <v>176.92999999999995</v>
      </c>
      <c r="O95" s="1" t="s">
        <v>24</v>
      </c>
      <c r="P95" s="1" t="s">
        <v>101</v>
      </c>
      <c r="Q95">
        <v>8</v>
      </c>
    </row>
    <row r="96" spans="1:17" x14ac:dyDescent="0.25">
      <c r="A96" s="1" t="s">
        <v>352</v>
      </c>
      <c r="B96" s="2">
        <v>46085</v>
      </c>
      <c r="C96">
        <v>2026</v>
      </c>
      <c r="D96" s="1" t="s">
        <v>353</v>
      </c>
      <c r="E96" s="1" t="s">
        <v>354</v>
      </c>
      <c r="F96" s="1" t="s">
        <v>29</v>
      </c>
      <c r="G96" s="1" t="s">
        <v>30</v>
      </c>
      <c r="H96" s="1" t="s">
        <v>22</v>
      </c>
      <c r="I96" s="1" t="s">
        <v>31</v>
      </c>
      <c r="J96">
        <v>2</v>
      </c>
      <c r="K96">
        <v>45.83</v>
      </c>
      <c r="L96">
        <v>72.14</v>
      </c>
      <c r="M96">
        <v>91.66</v>
      </c>
      <c r="N96">
        <v>19.519999999999996</v>
      </c>
      <c r="O96" s="1" t="s">
        <v>32</v>
      </c>
      <c r="P96" s="1" t="s">
        <v>88</v>
      </c>
      <c r="Q96">
        <v>3</v>
      </c>
    </row>
    <row r="97" spans="1:17" x14ac:dyDescent="0.25">
      <c r="A97" s="1" t="s">
        <v>355</v>
      </c>
      <c r="B97" s="2">
        <v>46352</v>
      </c>
      <c r="C97">
        <v>2026</v>
      </c>
      <c r="D97" s="1" t="s">
        <v>27</v>
      </c>
      <c r="E97" s="1" t="s">
        <v>293</v>
      </c>
      <c r="F97" s="1" t="s">
        <v>202</v>
      </c>
      <c r="G97" s="1" t="s">
        <v>203</v>
      </c>
      <c r="H97" s="1" t="s">
        <v>111</v>
      </c>
      <c r="I97" s="1" t="s">
        <v>60</v>
      </c>
      <c r="J97">
        <v>19</v>
      </c>
      <c r="K97">
        <v>86.37</v>
      </c>
      <c r="L97">
        <v>1040.1099999999999</v>
      </c>
      <c r="M97">
        <v>1641.0300000000002</v>
      </c>
      <c r="N97">
        <v>600.9200000000003</v>
      </c>
      <c r="O97" s="1" t="s">
        <v>52</v>
      </c>
      <c r="P97" s="1" t="s">
        <v>134</v>
      </c>
      <c r="Q97">
        <v>11</v>
      </c>
    </row>
    <row r="98" spans="1:17" x14ac:dyDescent="0.25">
      <c r="A98" s="1" t="s">
        <v>356</v>
      </c>
      <c r="B98" s="2">
        <v>46094</v>
      </c>
      <c r="C98">
        <v>2026</v>
      </c>
      <c r="D98" s="1" t="s">
        <v>123</v>
      </c>
      <c r="E98" s="1" t="s">
        <v>343</v>
      </c>
      <c r="F98" s="1" t="s">
        <v>144</v>
      </c>
      <c r="G98" s="1" t="s">
        <v>145</v>
      </c>
      <c r="H98" s="1" t="s">
        <v>39</v>
      </c>
      <c r="I98" s="1" t="s">
        <v>23</v>
      </c>
      <c r="J98">
        <v>18</v>
      </c>
      <c r="K98">
        <v>309.36</v>
      </c>
      <c r="L98">
        <v>4132.3500000000004</v>
      </c>
      <c r="M98">
        <v>5568.4800000000005</v>
      </c>
      <c r="N98">
        <v>1436.13</v>
      </c>
      <c r="O98" s="1" t="s">
        <v>32</v>
      </c>
      <c r="P98" s="1" t="s">
        <v>88</v>
      </c>
      <c r="Q98">
        <v>3</v>
      </c>
    </row>
    <row r="99" spans="1:17" x14ac:dyDescent="0.25">
      <c r="A99" s="1" t="s">
        <v>357</v>
      </c>
      <c r="B99" s="2">
        <v>46263</v>
      </c>
      <c r="C99">
        <v>2026</v>
      </c>
      <c r="D99" s="1" t="s">
        <v>55</v>
      </c>
      <c r="E99" s="1" t="s">
        <v>358</v>
      </c>
      <c r="F99" s="1" t="s">
        <v>329</v>
      </c>
      <c r="G99" s="1" t="s">
        <v>330</v>
      </c>
      <c r="H99" s="1" t="s">
        <v>78</v>
      </c>
      <c r="I99" s="1" t="s">
        <v>46</v>
      </c>
      <c r="J99">
        <v>15</v>
      </c>
      <c r="K99">
        <v>236.93</v>
      </c>
      <c r="L99">
        <v>2668.48</v>
      </c>
      <c r="M99">
        <v>3553.9500000000003</v>
      </c>
      <c r="N99">
        <v>885.47000000000025</v>
      </c>
      <c r="O99" s="1" t="s">
        <v>24</v>
      </c>
      <c r="P99" s="1" t="s">
        <v>101</v>
      </c>
      <c r="Q99">
        <v>8</v>
      </c>
    </row>
    <row r="100" spans="1:17" x14ac:dyDescent="0.25">
      <c r="A100" s="1" t="s">
        <v>359</v>
      </c>
      <c r="B100" s="2">
        <v>46377</v>
      </c>
      <c r="C100">
        <v>2026</v>
      </c>
      <c r="D100" s="1" t="s">
        <v>99</v>
      </c>
      <c r="E100" s="1" t="s">
        <v>360</v>
      </c>
      <c r="F100" s="1" t="s">
        <v>206</v>
      </c>
      <c r="G100" s="1" t="s">
        <v>207</v>
      </c>
      <c r="H100" s="1" t="s">
        <v>39</v>
      </c>
      <c r="I100" s="1" t="s">
        <v>60</v>
      </c>
      <c r="J100">
        <v>1</v>
      </c>
      <c r="K100">
        <v>128.09</v>
      </c>
      <c r="L100">
        <v>79.77</v>
      </c>
      <c r="M100">
        <v>128.09</v>
      </c>
      <c r="N100">
        <v>48.320000000000007</v>
      </c>
      <c r="O100" s="1" t="s">
        <v>52</v>
      </c>
      <c r="P100" s="1" t="s">
        <v>67</v>
      </c>
      <c r="Q100">
        <v>12</v>
      </c>
    </row>
    <row r="101" spans="1:17" x14ac:dyDescent="0.25">
      <c r="A101" s="1" t="s">
        <v>361</v>
      </c>
      <c r="B101" s="2">
        <v>46196</v>
      </c>
      <c r="C101">
        <v>2026</v>
      </c>
      <c r="D101" s="1" t="s">
        <v>362</v>
      </c>
      <c r="E101" s="1" t="s">
        <v>261</v>
      </c>
      <c r="F101" s="1" t="s">
        <v>363</v>
      </c>
      <c r="G101" s="1" t="s">
        <v>364</v>
      </c>
      <c r="H101" s="1" t="s">
        <v>78</v>
      </c>
      <c r="I101" s="1" t="s">
        <v>23</v>
      </c>
      <c r="J101">
        <v>6</v>
      </c>
      <c r="K101">
        <v>322.10000000000002</v>
      </c>
      <c r="L101">
        <v>1229.6600000000001</v>
      </c>
      <c r="M101">
        <v>1932.6000000000001</v>
      </c>
      <c r="N101">
        <v>702.94</v>
      </c>
      <c r="O101" s="1" t="s">
        <v>47</v>
      </c>
      <c r="P101" s="1" t="s">
        <v>171</v>
      </c>
      <c r="Q101">
        <v>6</v>
      </c>
    </row>
    <row r="102" spans="1:17" x14ac:dyDescent="0.25">
      <c r="A102" s="1" t="s">
        <v>365</v>
      </c>
      <c r="B102" s="2">
        <v>46153</v>
      </c>
      <c r="C102">
        <v>2026</v>
      </c>
      <c r="D102" s="1" t="s">
        <v>129</v>
      </c>
      <c r="E102" s="1" t="s">
        <v>366</v>
      </c>
      <c r="F102" s="1" t="s">
        <v>179</v>
      </c>
      <c r="G102" s="1" t="s">
        <v>180</v>
      </c>
      <c r="H102" s="1" t="s">
        <v>78</v>
      </c>
      <c r="I102" s="1" t="s">
        <v>46</v>
      </c>
      <c r="J102">
        <v>4</v>
      </c>
      <c r="K102">
        <v>197.72</v>
      </c>
      <c r="L102">
        <v>478.36</v>
      </c>
      <c r="M102">
        <v>790.88</v>
      </c>
      <c r="N102">
        <v>312.52</v>
      </c>
      <c r="O102" s="1" t="s">
        <v>47</v>
      </c>
      <c r="P102" s="1" t="s">
        <v>92</v>
      </c>
      <c r="Q102">
        <v>5</v>
      </c>
    </row>
    <row r="103" spans="1:17" x14ac:dyDescent="0.25">
      <c r="A103" s="1" t="s">
        <v>367</v>
      </c>
      <c r="B103" s="2">
        <v>46041</v>
      </c>
      <c r="C103">
        <v>2026</v>
      </c>
      <c r="D103" s="1" t="s">
        <v>368</v>
      </c>
      <c r="E103" s="1" t="s">
        <v>369</v>
      </c>
      <c r="F103" s="1" t="s">
        <v>115</v>
      </c>
      <c r="G103" s="1" t="s">
        <v>116</v>
      </c>
      <c r="H103" s="1" t="s">
        <v>22</v>
      </c>
      <c r="I103" s="1" t="s">
        <v>60</v>
      </c>
      <c r="J103">
        <v>15</v>
      </c>
      <c r="K103">
        <v>132.94999999999999</v>
      </c>
      <c r="L103">
        <v>1248.17</v>
      </c>
      <c r="M103">
        <v>1994.2499999999998</v>
      </c>
      <c r="N103">
        <v>746.0799999999997</v>
      </c>
      <c r="O103" s="1" t="s">
        <v>32</v>
      </c>
      <c r="P103" s="1" t="s">
        <v>33</v>
      </c>
      <c r="Q103">
        <v>1</v>
      </c>
    </row>
    <row r="104" spans="1:17" x14ac:dyDescent="0.25">
      <c r="A104" s="1" t="s">
        <v>370</v>
      </c>
      <c r="B104" s="2">
        <v>46265</v>
      </c>
      <c r="C104">
        <v>2026</v>
      </c>
      <c r="D104" s="1" t="s">
        <v>123</v>
      </c>
      <c r="E104" s="1" t="s">
        <v>371</v>
      </c>
      <c r="F104" s="1" t="s">
        <v>175</v>
      </c>
      <c r="G104" s="1" t="s">
        <v>176</v>
      </c>
      <c r="H104" s="1" t="s">
        <v>59</v>
      </c>
      <c r="I104" s="1" t="s">
        <v>23</v>
      </c>
      <c r="J104">
        <v>17</v>
      </c>
      <c r="K104">
        <v>481.04</v>
      </c>
      <c r="L104">
        <v>5518.53</v>
      </c>
      <c r="M104">
        <v>8177.68</v>
      </c>
      <c r="N104">
        <v>2659.1500000000005</v>
      </c>
      <c r="O104" s="1" t="s">
        <v>24</v>
      </c>
      <c r="P104" s="1" t="s">
        <v>101</v>
      </c>
      <c r="Q104">
        <v>8</v>
      </c>
    </row>
    <row r="105" spans="1:17" x14ac:dyDescent="0.25">
      <c r="A105" s="1" t="s">
        <v>372</v>
      </c>
      <c r="B105" s="2">
        <v>46136</v>
      </c>
      <c r="C105">
        <v>2026</v>
      </c>
      <c r="D105" s="1" t="s">
        <v>373</v>
      </c>
      <c r="E105" s="1" t="s">
        <v>374</v>
      </c>
      <c r="F105" s="1" t="s">
        <v>149</v>
      </c>
      <c r="G105" s="1" t="s">
        <v>150</v>
      </c>
      <c r="H105" s="1" t="s">
        <v>22</v>
      </c>
      <c r="I105" s="1" t="s">
        <v>46</v>
      </c>
      <c r="J105">
        <v>4</v>
      </c>
      <c r="K105">
        <v>404.46</v>
      </c>
      <c r="L105">
        <v>998</v>
      </c>
      <c r="M105">
        <v>1617.84</v>
      </c>
      <c r="N105">
        <v>619.83999999999992</v>
      </c>
      <c r="O105" s="1" t="s">
        <v>47</v>
      </c>
      <c r="P105" s="1" t="s">
        <v>48</v>
      </c>
      <c r="Q105">
        <v>4</v>
      </c>
    </row>
    <row r="106" spans="1:17" x14ac:dyDescent="0.25">
      <c r="A106" s="1" t="s">
        <v>375</v>
      </c>
      <c r="B106" s="2">
        <v>46109</v>
      </c>
      <c r="C106">
        <v>2026</v>
      </c>
      <c r="D106" s="1" t="s">
        <v>162</v>
      </c>
      <c r="E106" s="1" t="s">
        <v>376</v>
      </c>
      <c r="F106" s="1" t="s">
        <v>179</v>
      </c>
      <c r="G106" s="1" t="s">
        <v>180</v>
      </c>
      <c r="H106" s="1" t="s">
        <v>78</v>
      </c>
      <c r="I106" s="1" t="s">
        <v>60</v>
      </c>
      <c r="J106">
        <v>3</v>
      </c>
      <c r="K106">
        <v>65.13</v>
      </c>
      <c r="L106">
        <v>153.35</v>
      </c>
      <c r="M106">
        <v>195.39</v>
      </c>
      <c r="N106">
        <v>42.039999999999992</v>
      </c>
      <c r="O106" s="1" t="s">
        <v>32</v>
      </c>
      <c r="P106" s="1" t="s">
        <v>88</v>
      </c>
      <c r="Q106">
        <v>3</v>
      </c>
    </row>
    <row r="107" spans="1:17" x14ac:dyDescent="0.25">
      <c r="A107" s="1" t="s">
        <v>377</v>
      </c>
      <c r="B107" s="2">
        <v>46371</v>
      </c>
      <c r="C107">
        <v>2026</v>
      </c>
      <c r="D107" s="1" t="s">
        <v>378</v>
      </c>
      <c r="E107" s="1" t="s">
        <v>379</v>
      </c>
      <c r="F107" s="1" t="s">
        <v>363</v>
      </c>
      <c r="G107" s="1" t="s">
        <v>364</v>
      </c>
      <c r="H107" s="1" t="s">
        <v>78</v>
      </c>
      <c r="I107" s="1" t="s">
        <v>31</v>
      </c>
      <c r="J107">
        <v>3</v>
      </c>
      <c r="K107">
        <v>102.24</v>
      </c>
      <c r="L107">
        <v>177.14</v>
      </c>
      <c r="M107">
        <v>306.71999999999997</v>
      </c>
      <c r="N107">
        <v>129.57999999999998</v>
      </c>
      <c r="O107" s="1" t="s">
        <v>52</v>
      </c>
      <c r="P107" s="1" t="s">
        <v>67</v>
      </c>
      <c r="Q107">
        <v>12</v>
      </c>
    </row>
    <row r="108" spans="1:17" x14ac:dyDescent="0.25">
      <c r="A108" s="1" t="s">
        <v>380</v>
      </c>
      <c r="B108" s="2">
        <v>46288</v>
      </c>
      <c r="C108">
        <v>2026</v>
      </c>
      <c r="D108" s="1" t="s">
        <v>381</v>
      </c>
      <c r="E108" s="1" t="s">
        <v>382</v>
      </c>
      <c r="F108" s="1" t="s">
        <v>231</v>
      </c>
      <c r="G108" s="1" t="s">
        <v>232</v>
      </c>
      <c r="H108" s="1" t="s">
        <v>59</v>
      </c>
      <c r="I108" s="1" t="s">
        <v>23</v>
      </c>
      <c r="J108">
        <v>10</v>
      </c>
      <c r="K108">
        <v>376.59</v>
      </c>
      <c r="L108">
        <v>3051.03</v>
      </c>
      <c r="M108">
        <v>3765.8999999999996</v>
      </c>
      <c r="N108">
        <v>714.86999999999944</v>
      </c>
      <c r="O108" s="1" t="s">
        <v>24</v>
      </c>
      <c r="P108" s="1" t="s">
        <v>61</v>
      </c>
      <c r="Q108">
        <v>9</v>
      </c>
    </row>
    <row r="109" spans="1:17" x14ac:dyDescent="0.25">
      <c r="A109" s="1" t="s">
        <v>383</v>
      </c>
      <c r="B109" s="2">
        <v>46048</v>
      </c>
      <c r="C109">
        <v>2026</v>
      </c>
      <c r="D109" s="1" t="s">
        <v>255</v>
      </c>
      <c r="E109" s="1" t="s">
        <v>384</v>
      </c>
      <c r="F109" s="1" t="s">
        <v>82</v>
      </c>
      <c r="G109" s="1" t="s">
        <v>83</v>
      </c>
      <c r="H109" s="1" t="s">
        <v>45</v>
      </c>
      <c r="I109" s="1" t="s">
        <v>46</v>
      </c>
      <c r="J109">
        <v>9</v>
      </c>
      <c r="K109">
        <v>261.70999999999998</v>
      </c>
      <c r="L109">
        <v>1643.71</v>
      </c>
      <c r="M109">
        <v>2355.39</v>
      </c>
      <c r="N109">
        <v>711.67999999999984</v>
      </c>
      <c r="O109" s="1" t="s">
        <v>32</v>
      </c>
      <c r="P109" s="1" t="s">
        <v>33</v>
      </c>
      <c r="Q109">
        <v>1</v>
      </c>
    </row>
    <row r="110" spans="1:17" x14ac:dyDescent="0.25">
      <c r="A110" s="1" t="s">
        <v>385</v>
      </c>
      <c r="B110" s="2">
        <v>46293</v>
      </c>
      <c r="C110">
        <v>2026</v>
      </c>
      <c r="D110" s="1" t="s">
        <v>173</v>
      </c>
      <c r="E110" s="1" t="s">
        <v>386</v>
      </c>
      <c r="F110" s="1" t="s">
        <v>175</v>
      </c>
      <c r="G110" s="1" t="s">
        <v>176</v>
      </c>
      <c r="H110" s="1" t="s">
        <v>59</v>
      </c>
      <c r="I110" s="1" t="s">
        <v>31</v>
      </c>
      <c r="J110">
        <v>4</v>
      </c>
      <c r="K110">
        <v>273.18</v>
      </c>
      <c r="L110">
        <v>660.65</v>
      </c>
      <c r="M110">
        <v>1092.72</v>
      </c>
      <c r="N110">
        <v>432.07000000000005</v>
      </c>
      <c r="O110" s="1" t="s">
        <v>24</v>
      </c>
      <c r="P110" s="1" t="s">
        <v>61</v>
      </c>
      <c r="Q110">
        <v>9</v>
      </c>
    </row>
    <row r="111" spans="1:17" x14ac:dyDescent="0.25">
      <c r="A111" s="1" t="s">
        <v>387</v>
      </c>
      <c r="B111" s="2">
        <v>46073</v>
      </c>
      <c r="C111">
        <v>2026</v>
      </c>
      <c r="D111" s="1" t="s">
        <v>243</v>
      </c>
      <c r="E111" s="1" t="s">
        <v>228</v>
      </c>
      <c r="F111" s="1" t="s">
        <v>185</v>
      </c>
      <c r="G111" s="1" t="s">
        <v>186</v>
      </c>
      <c r="H111" s="1" t="s">
        <v>22</v>
      </c>
      <c r="I111" s="1" t="s">
        <v>60</v>
      </c>
      <c r="J111">
        <v>13</v>
      </c>
      <c r="K111">
        <v>284.56</v>
      </c>
      <c r="L111">
        <v>2324</v>
      </c>
      <c r="M111">
        <v>3699.28</v>
      </c>
      <c r="N111">
        <v>1375.2800000000002</v>
      </c>
      <c r="O111" s="1" t="s">
        <v>32</v>
      </c>
      <c r="P111" s="1" t="s">
        <v>84</v>
      </c>
      <c r="Q111">
        <v>2</v>
      </c>
    </row>
    <row r="112" spans="1:17" x14ac:dyDescent="0.25">
      <c r="A112" s="1" t="s">
        <v>388</v>
      </c>
      <c r="B112" s="2">
        <v>46116</v>
      </c>
      <c r="C112">
        <v>2026</v>
      </c>
      <c r="D112" s="1" t="s">
        <v>74</v>
      </c>
      <c r="E112" s="1" t="s">
        <v>389</v>
      </c>
      <c r="F112" s="1" t="s">
        <v>164</v>
      </c>
      <c r="G112" s="1" t="s">
        <v>165</v>
      </c>
      <c r="H112" s="1" t="s">
        <v>22</v>
      </c>
      <c r="I112" s="1" t="s">
        <v>46</v>
      </c>
      <c r="J112">
        <v>5</v>
      </c>
      <c r="K112">
        <v>443.57</v>
      </c>
      <c r="L112">
        <v>1580.24</v>
      </c>
      <c r="M112">
        <v>2217.85</v>
      </c>
      <c r="N112">
        <v>637.6099999999999</v>
      </c>
      <c r="O112" s="1" t="s">
        <v>47</v>
      </c>
      <c r="P112" s="1" t="s">
        <v>48</v>
      </c>
      <c r="Q112">
        <v>4</v>
      </c>
    </row>
    <row r="113" spans="1:17" x14ac:dyDescent="0.25">
      <c r="A113" s="1" t="s">
        <v>390</v>
      </c>
      <c r="B113" s="2">
        <v>46347</v>
      </c>
      <c r="C113">
        <v>2026</v>
      </c>
      <c r="D113" s="1" t="s">
        <v>225</v>
      </c>
      <c r="E113" s="1" t="s">
        <v>391</v>
      </c>
      <c r="F113" s="1" t="s">
        <v>82</v>
      </c>
      <c r="G113" s="1" t="s">
        <v>83</v>
      </c>
      <c r="H113" s="1" t="s">
        <v>45</v>
      </c>
      <c r="I113" s="1" t="s">
        <v>46</v>
      </c>
      <c r="J113">
        <v>17</v>
      </c>
      <c r="K113">
        <v>448.85</v>
      </c>
      <c r="L113">
        <v>4859.8</v>
      </c>
      <c r="M113">
        <v>7630.4500000000007</v>
      </c>
      <c r="N113">
        <v>2770.6500000000005</v>
      </c>
      <c r="O113" s="1" t="s">
        <v>52</v>
      </c>
      <c r="P113" s="1" t="s">
        <v>134</v>
      </c>
      <c r="Q113">
        <v>11</v>
      </c>
    </row>
    <row r="114" spans="1:17" x14ac:dyDescent="0.25">
      <c r="A114" s="1" t="s">
        <v>392</v>
      </c>
      <c r="B114" s="2">
        <v>46043</v>
      </c>
      <c r="C114">
        <v>2026</v>
      </c>
      <c r="D114" s="1" t="s">
        <v>393</v>
      </c>
      <c r="E114" s="1" t="s">
        <v>305</v>
      </c>
      <c r="F114" s="1" t="s">
        <v>159</v>
      </c>
      <c r="G114" s="1" t="s">
        <v>160</v>
      </c>
      <c r="H114" s="1" t="s">
        <v>111</v>
      </c>
      <c r="I114" s="1" t="s">
        <v>31</v>
      </c>
      <c r="J114">
        <v>12</v>
      </c>
      <c r="K114">
        <v>442.08</v>
      </c>
      <c r="L114">
        <v>4086.43</v>
      </c>
      <c r="M114">
        <v>5304.96</v>
      </c>
      <c r="N114">
        <v>1218.5300000000002</v>
      </c>
      <c r="O114" s="1" t="s">
        <v>32</v>
      </c>
      <c r="P114" s="1" t="s">
        <v>33</v>
      </c>
      <c r="Q114">
        <v>1</v>
      </c>
    </row>
    <row r="115" spans="1:17" x14ac:dyDescent="0.25">
      <c r="A115" s="1" t="s">
        <v>394</v>
      </c>
      <c r="B115" s="2">
        <v>46158</v>
      </c>
      <c r="C115">
        <v>2026</v>
      </c>
      <c r="D115" s="1" t="s">
        <v>395</v>
      </c>
      <c r="E115" s="1" t="s">
        <v>396</v>
      </c>
      <c r="F115" s="1" t="s">
        <v>82</v>
      </c>
      <c r="G115" s="1" t="s">
        <v>83</v>
      </c>
      <c r="H115" s="1" t="s">
        <v>45</v>
      </c>
      <c r="I115" s="1" t="s">
        <v>46</v>
      </c>
      <c r="J115">
        <v>6</v>
      </c>
      <c r="K115">
        <v>435.98</v>
      </c>
      <c r="L115">
        <v>2027.93</v>
      </c>
      <c r="M115">
        <v>2615.88</v>
      </c>
      <c r="N115">
        <v>587.95000000000005</v>
      </c>
      <c r="O115" s="1" t="s">
        <v>47</v>
      </c>
      <c r="P115" s="1" t="s">
        <v>92</v>
      </c>
      <c r="Q115">
        <v>5</v>
      </c>
    </row>
    <row r="116" spans="1:17" x14ac:dyDescent="0.25">
      <c r="A116" s="1" t="s">
        <v>397</v>
      </c>
      <c r="B116" s="2">
        <v>46138</v>
      </c>
      <c r="C116">
        <v>2026</v>
      </c>
      <c r="D116" s="1" t="s">
        <v>304</v>
      </c>
      <c r="E116" s="1" t="s">
        <v>398</v>
      </c>
      <c r="F116" s="1" t="s">
        <v>399</v>
      </c>
      <c r="G116" s="1" t="s">
        <v>400</v>
      </c>
      <c r="H116" s="1" t="s">
        <v>236</v>
      </c>
      <c r="I116" s="1" t="s">
        <v>46</v>
      </c>
      <c r="J116">
        <v>14</v>
      </c>
      <c r="K116">
        <v>220.19</v>
      </c>
      <c r="L116">
        <v>1946.38</v>
      </c>
      <c r="M116">
        <v>3082.66</v>
      </c>
      <c r="N116">
        <v>1136.2799999999997</v>
      </c>
      <c r="O116" s="1" t="s">
        <v>47</v>
      </c>
      <c r="P116" s="1" t="s">
        <v>48</v>
      </c>
      <c r="Q116">
        <v>4</v>
      </c>
    </row>
    <row r="117" spans="1:17" x14ac:dyDescent="0.25">
      <c r="A117" s="1" t="s">
        <v>401</v>
      </c>
      <c r="B117" s="2">
        <v>46313</v>
      </c>
      <c r="C117">
        <v>2026</v>
      </c>
      <c r="D117" s="1" t="s">
        <v>216</v>
      </c>
      <c r="E117" s="1" t="s">
        <v>402</v>
      </c>
      <c r="F117" s="1" t="s">
        <v>82</v>
      </c>
      <c r="G117" s="1" t="s">
        <v>83</v>
      </c>
      <c r="H117" s="1" t="s">
        <v>45</v>
      </c>
      <c r="I117" s="1" t="s">
        <v>46</v>
      </c>
      <c r="J117">
        <v>12</v>
      </c>
      <c r="K117">
        <v>229.95</v>
      </c>
      <c r="L117">
        <v>1782.04</v>
      </c>
      <c r="M117">
        <v>2759.3999999999996</v>
      </c>
      <c r="N117">
        <v>977.35999999999967</v>
      </c>
      <c r="O117" s="1" t="s">
        <v>52</v>
      </c>
      <c r="P117" s="1" t="s">
        <v>53</v>
      </c>
      <c r="Q117">
        <v>10</v>
      </c>
    </row>
    <row r="118" spans="1:17" x14ac:dyDescent="0.25">
      <c r="A118" s="1" t="s">
        <v>403</v>
      </c>
      <c r="B118" s="2">
        <v>46040</v>
      </c>
      <c r="C118">
        <v>2026</v>
      </c>
      <c r="D118" s="1" t="s">
        <v>196</v>
      </c>
      <c r="E118" s="1" t="s">
        <v>404</v>
      </c>
      <c r="F118" s="1" t="s">
        <v>169</v>
      </c>
      <c r="G118" s="1" t="s">
        <v>170</v>
      </c>
      <c r="H118" s="1" t="s">
        <v>78</v>
      </c>
      <c r="I118" s="1" t="s">
        <v>23</v>
      </c>
      <c r="J118">
        <v>15</v>
      </c>
      <c r="K118">
        <v>224.53</v>
      </c>
      <c r="L118">
        <v>2022.54</v>
      </c>
      <c r="M118">
        <v>3367.95</v>
      </c>
      <c r="N118">
        <v>1345.4099999999999</v>
      </c>
      <c r="O118" s="1" t="s">
        <v>32</v>
      </c>
      <c r="P118" s="1" t="s">
        <v>33</v>
      </c>
      <c r="Q118">
        <v>1</v>
      </c>
    </row>
    <row r="119" spans="1:17" x14ac:dyDescent="0.25">
      <c r="A119" s="1" t="s">
        <v>405</v>
      </c>
      <c r="B119" s="2">
        <v>46138</v>
      </c>
      <c r="C119">
        <v>2026</v>
      </c>
      <c r="D119" s="1" t="s">
        <v>381</v>
      </c>
      <c r="E119" s="1" t="s">
        <v>406</v>
      </c>
      <c r="F119" s="1" t="s">
        <v>105</v>
      </c>
      <c r="G119" s="1" t="s">
        <v>106</v>
      </c>
      <c r="H119" s="1" t="s">
        <v>78</v>
      </c>
      <c r="I119" s="1" t="s">
        <v>60</v>
      </c>
      <c r="J119">
        <v>9</v>
      </c>
      <c r="K119">
        <v>305.23</v>
      </c>
      <c r="L119">
        <v>1991.26</v>
      </c>
      <c r="M119">
        <v>2747.07</v>
      </c>
      <c r="N119">
        <v>755.81000000000017</v>
      </c>
      <c r="O119" s="1" t="s">
        <v>47</v>
      </c>
      <c r="P119" s="1" t="s">
        <v>48</v>
      </c>
      <c r="Q119">
        <v>4</v>
      </c>
    </row>
    <row r="120" spans="1:17" x14ac:dyDescent="0.25">
      <c r="A120" s="1" t="s">
        <v>407</v>
      </c>
      <c r="B120" s="2">
        <v>46256</v>
      </c>
      <c r="C120">
        <v>2026</v>
      </c>
      <c r="D120" s="1" t="s">
        <v>408</v>
      </c>
      <c r="E120" s="1" t="s">
        <v>409</v>
      </c>
      <c r="F120" s="1" t="s">
        <v>410</v>
      </c>
      <c r="G120" s="1" t="s">
        <v>411</v>
      </c>
      <c r="H120" s="1" t="s">
        <v>78</v>
      </c>
      <c r="I120" s="1" t="s">
        <v>46</v>
      </c>
      <c r="J120">
        <v>18</v>
      </c>
      <c r="K120">
        <v>90.62</v>
      </c>
      <c r="L120">
        <v>1105.8800000000001</v>
      </c>
      <c r="M120">
        <v>1631.16</v>
      </c>
      <c r="N120">
        <v>525.28</v>
      </c>
      <c r="O120" s="1" t="s">
        <v>24</v>
      </c>
      <c r="P120" s="1" t="s">
        <v>101</v>
      </c>
      <c r="Q120">
        <v>8</v>
      </c>
    </row>
    <row r="121" spans="1:17" x14ac:dyDescent="0.25">
      <c r="A121" s="1" t="s">
        <v>412</v>
      </c>
      <c r="B121" s="2">
        <v>46360</v>
      </c>
      <c r="C121">
        <v>2026</v>
      </c>
      <c r="D121" s="1" t="s">
        <v>300</v>
      </c>
      <c r="E121" s="1" t="s">
        <v>369</v>
      </c>
      <c r="F121" s="1" t="s">
        <v>211</v>
      </c>
      <c r="G121" s="1" t="s">
        <v>212</v>
      </c>
      <c r="H121" s="1" t="s">
        <v>39</v>
      </c>
      <c r="I121" s="1" t="s">
        <v>23</v>
      </c>
      <c r="J121">
        <v>20</v>
      </c>
      <c r="K121">
        <v>69.680000000000007</v>
      </c>
      <c r="L121">
        <v>769.57</v>
      </c>
      <c r="M121">
        <v>1393.6000000000001</v>
      </c>
      <c r="N121">
        <v>624.03000000000009</v>
      </c>
      <c r="O121" s="1" t="s">
        <v>52</v>
      </c>
      <c r="P121" s="1" t="s">
        <v>67</v>
      </c>
      <c r="Q121">
        <v>12</v>
      </c>
    </row>
    <row r="122" spans="1:17" x14ac:dyDescent="0.25">
      <c r="A122" s="1" t="s">
        <v>413</v>
      </c>
      <c r="B122" s="2">
        <v>46317</v>
      </c>
      <c r="C122">
        <v>2026</v>
      </c>
      <c r="D122" s="1" t="s">
        <v>414</v>
      </c>
      <c r="E122" s="1" t="s">
        <v>75</v>
      </c>
      <c r="F122" s="1" t="s">
        <v>415</v>
      </c>
      <c r="G122" s="1" t="s">
        <v>416</v>
      </c>
      <c r="H122" s="1" t="s">
        <v>22</v>
      </c>
      <c r="I122" s="1" t="s">
        <v>31</v>
      </c>
      <c r="J122">
        <v>12</v>
      </c>
      <c r="K122">
        <v>215.9</v>
      </c>
      <c r="L122">
        <v>1696.77</v>
      </c>
      <c r="M122">
        <v>2590.8000000000002</v>
      </c>
      <c r="N122">
        <v>894.0300000000002</v>
      </c>
      <c r="O122" s="1" t="s">
        <v>52</v>
      </c>
      <c r="P122" s="1" t="s">
        <v>53</v>
      </c>
      <c r="Q122">
        <v>10</v>
      </c>
    </row>
    <row r="123" spans="1:17" x14ac:dyDescent="0.25">
      <c r="A123" s="1" t="s">
        <v>417</v>
      </c>
      <c r="B123" s="2">
        <v>46141</v>
      </c>
      <c r="C123">
        <v>2026</v>
      </c>
      <c r="D123" s="1" t="s">
        <v>279</v>
      </c>
      <c r="E123" s="1" t="s">
        <v>418</v>
      </c>
      <c r="F123" s="1" t="s">
        <v>144</v>
      </c>
      <c r="G123" s="1" t="s">
        <v>145</v>
      </c>
      <c r="H123" s="1" t="s">
        <v>39</v>
      </c>
      <c r="I123" s="1" t="s">
        <v>31</v>
      </c>
      <c r="J123">
        <v>1</v>
      </c>
      <c r="K123">
        <v>72.3</v>
      </c>
      <c r="L123">
        <v>51.57</v>
      </c>
      <c r="M123">
        <v>72.3</v>
      </c>
      <c r="N123">
        <v>20.729999999999997</v>
      </c>
      <c r="O123" s="1" t="s">
        <v>47</v>
      </c>
      <c r="P123" s="1" t="s">
        <v>48</v>
      </c>
      <c r="Q123">
        <v>4</v>
      </c>
    </row>
    <row r="124" spans="1:17" x14ac:dyDescent="0.25">
      <c r="A124" s="1" t="s">
        <v>419</v>
      </c>
      <c r="B124" s="2">
        <v>46121</v>
      </c>
      <c r="C124">
        <v>2026</v>
      </c>
      <c r="D124" s="1" t="s">
        <v>420</v>
      </c>
      <c r="E124" s="1" t="s">
        <v>421</v>
      </c>
      <c r="F124" s="1" t="s">
        <v>189</v>
      </c>
      <c r="G124" s="1" t="s">
        <v>190</v>
      </c>
      <c r="H124" s="1" t="s">
        <v>22</v>
      </c>
      <c r="I124" s="1" t="s">
        <v>46</v>
      </c>
      <c r="J124">
        <v>11</v>
      </c>
      <c r="K124">
        <v>292.58999999999997</v>
      </c>
      <c r="L124">
        <v>2444.7399999999998</v>
      </c>
      <c r="M124">
        <v>3218.49</v>
      </c>
      <c r="N124">
        <v>773.75</v>
      </c>
      <c r="O124" s="1" t="s">
        <v>47</v>
      </c>
      <c r="P124" s="1" t="s">
        <v>48</v>
      </c>
      <c r="Q124">
        <v>4</v>
      </c>
    </row>
    <row r="125" spans="1:17" x14ac:dyDescent="0.25">
      <c r="A125" s="1" t="s">
        <v>422</v>
      </c>
      <c r="B125" s="2">
        <v>46224</v>
      </c>
      <c r="C125">
        <v>2026</v>
      </c>
      <c r="D125" s="1" t="s">
        <v>55</v>
      </c>
      <c r="E125" s="1" t="s">
        <v>354</v>
      </c>
      <c r="F125" s="1" t="s">
        <v>185</v>
      </c>
      <c r="G125" s="1" t="s">
        <v>186</v>
      </c>
      <c r="H125" s="1" t="s">
        <v>22</v>
      </c>
      <c r="I125" s="1" t="s">
        <v>23</v>
      </c>
      <c r="J125">
        <v>19</v>
      </c>
      <c r="K125">
        <v>399.51</v>
      </c>
      <c r="L125">
        <v>5336.15</v>
      </c>
      <c r="M125">
        <v>7590.69</v>
      </c>
      <c r="N125">
        <v>2254.54</v>
      </c>
      <c r="O125" s="1" t="s">
        <v>24</v>
      </c>
      <c r="P125" s="1" t="s">
        <v>25</v>
      </c>
      <c r="Q125">
        <v>7</v>
      </c>
    </row>
    <row r="126" spans="1:17" x14ac:dyDescent="0.25">
      <c r="A126" s="1" t="s">
        <v>423</v>
      </c>
      <c r="B126" s="2">
        <v>46371</v>
      </c>
      <c r="C126">
        <v>2026</v>
      </c>
      <c r="D126" s="1" t="s">
        <v>50</v>
      </c>
      <c r="E126" s="1" t="s">
        <v>424</v>
      </c>
      <c r="F126" s="1" t="s">
        <v>329</v>
      </c>
      <c r="G126" s="1" t="s">
        <v>330</v>
      </c>
      <c r="H126" s="1" t="s">
        <v>78</v>
      </c>
      <c r="I126" s="1" t="s">
        <v>23</v>
      </c>
      <c r="J126">
        <v>8</v>
      </c>
      <c r="K126">
        <v>234.79</v>
      </c>
      <c r="L126">
        <v>1202.3399999999999</v>
      </c>
      <c r="M126">
        <v>1878.32</v>
      </c>
      <c r="N126">
        <v>675.98</v>
      </c>
      <c r="O126" s="1" t="s">
        <v>52</v>
      </c>
      <c r="P126" s="1" t="s">
        <v>67</v>
      </c>
      <c r="Q126">
        <v>12</v>
      </c>
    </row>
    <row r="127" spans="1:17" x14ac:dyDescent="0.25">
      <c r="A127" s="1" t="s">
        <v>425</v>
      </c>
      <c r="B127" s="2">
        <v>46164</v>
      </c>
      <c r="C127">
        <v>2026</v>
      </c>
      <c r="D127" s="1" t="s">
        <v>74</v>
      </c>
      <c r="E127" s="1" t="s">
        <v>192</v>
      </c>
      <c r="F127" s="1" t="s">
        <v>20</v>
      </c>
      <c r="G127" s="1" t="s">
        <v>21</v>
      </c>
      <c r="H127" s="1" t="s">
        <v>22</v>
      </c>
      <c r="I127" s="1" t="s">
        <v>23</v>
      </c>
      <c r="J127">
        <v>15</v>
      </c>
      <c r="K127">
        <v>362.23</v>
      </c>
      <c r="L127">
        <v>4589.1499999999996</v>
      </c>
      <c r="M127">
        <v>5433.4500000000007</v>
      </c>
      <c r="N127">
        <v>844.30000000000109</v>
      </c>
      <c r="O127" s="1" t="s">
        <v>47</v>
      </c>
      <c r="P127" s="1" t="s">
        <v>92</v>
      </c>
      <c r="Q127">
        <v>5</v>
      </c>
    </row>
    <row r="128" spans="1:17" x14ac:dyDescent="0.25">
      <c r="A128" s="1" t="s">
        <v>426</v>
      </c>
      <c r="B128" s="2">
        <v>46181</v>
      </c>
      <c r="C128">
        <v>2026</v>
      </c>
      <c r="D128" s="1" t="s">
        <v>129</v>
      </c>
      <c r="E128" s="1" t="s">
        <v>427</v>
      </c>
      <c r="F128" s="1" t="s">
        <v>109</v>
      </c>
      <c r="G128" s="1" t="s">
        <v>110</v>
      </c>
      <c r="H128" s="1" t="s">
        <v>111</v>
      </c>
      <c r="I128" s="1" t="s">
        <v>23</v>
      </c>
      <c r="J128">
        <v>14</v>
      </c>
      <c r="K128">
        <v>50.4</v>
      </c>
      <c r="L128">
        <v>530.99</v>
      </c>
      <c r="M128">
        <v>705.6</v>
      </c>
      <c r="N128">
        <v>174.61</v>
      </c>
      <c r="O128" s="1" t="s">
        <v>47</v>
      </c>
      <c r="P128" s="1" t="s">
        <v>171</v>
      </c>
      <c r="Q128">
        <v>6</v>
      </c>
    </row>
    <row r="129" spans="1:17" x14ac:dyDescent="0.25">
      <c r="A129" s="1" t="s">
        <v>428</v>
      </c>
      <c r="B129" s="2">
        <v>46220</v>
      </c>
      <c r="C129">
        <v>2026</v>
      </c>
      <c r="D129" s="1" t="s">
        <v>238</v>
      </c>
      <c r="E129" s="1" t="s">
        <v>429</v>
      </c>
      <c r="F129" s="1" t="s">
        <v>202</v>
      </c>
      <c r="G129" s="1" t="s">
        <v>203</v>
      </c>
      <c r="H129" s="1" t="s">
        <v>111</v>
      </c>
      <c r="I129" s="1" t="s">
        <v>23</v>
      </c>
      <c r="J129">
        <v>17</v>
      </c>
      <c r="K129">
        <v>45.58</v>
      </c>
      <c r="L129">
        <v>430.41</v>
      </c>
      <c r="M129">
        <v>774.86</v>
      </c>
      <c r="N129">
        <v>344.45</v>
      </c>
      <c r="O129" s="1" t="s">
        <v>24</v>
      </c>
      <c r="P129" s="1" t="s">
        <v>25</v>
      </c>
      <c r="Q129">
        <v>7</v>
      </c>
    </row>
    <row r="130" spans="1:17" x14ac:dyDescent="0.25">
      <c r="A130" s="1" t="s">
        <v>430</v>
      </c>
      <c r="B130" s="2">
        <v>46290</v>
      </c>
      <c r="C130">
        <v>2026</v>
      </c>
      <c r="D130" s="1" t="s">
        <v>431</v>
      </c>
      <c r="E130" s="1" t="s">
        <v>95</v>
      </c>
      <c r="F130" s="1" t="s">
        <v>294</v>
      </c>
      <c r="G130" s="1" t="s">
        <v>295</v>
      </c>
      <c r="H130" s="1" t="s">
        <v>236</v>
      </c>
      <c r="I130" s="1" t="s">
        <v>31</v>
      </c>
      <c r="J130">
        <v>18</v>
      </c>
      <c r="K130">
        <v>441.59</v>
      </c>
      <c r="L130">
        <v>5579.1</v>
      </c>
      <c r="M130">
        <v>7948.62</v>
      </c>
      <c r="N130">
        <v>2369.5199999999995</v>
      </c>
      <c r="O130" s="1" t="s">
        <v>24</v>
      </c>
      <c r="P130" s="1" t="s">
        <v>61</v>
      </c>
      <c r="Q130">
        <v>9</v>
      </c>
    </row>
    <row r="131" spans="1:17" x14ac:dyDescent="0.25">
      <c r="A131" s="1" t="s">
        <v>432</v>
      </c>
      <c r="B131" s="2">
        <v>46305</v>
      </c>
      <c r="C131">
        <v>2026</v>
      </c>
      <c r="D131" s="1" t="s">
        <v>433</v>
      </c>
      <c r="E131" s="1" t="s">
        <v>354</v>
      </c>
      <c r="F131" s="1" t="s">
        <v>245</v>
      </c>
      <c r="G131" s="1" t="s">
        <v>246</v>
      </c>
      <c r="H131" s="1" t="s">
        <v>39</v>
      </c>
      <c r="I131" s="1" t="s">
        <v>60</v>
      </c>
      <c r="J131">
        <v>17</v>
      </c>
      <c r="K131">
        <v>491.61</v>
      </c>
      <c r="L131">
        <v>5547.84</v>
      </c>
      <c r="M131">
        <v>8357.3700000000008</v>
      </c>
      <c r="N131">
        <v>2809.5300000000007</v>
      </c>
      <c r="O131" s="1" t="s">
        <v>52</v>
      </c>
      <c r="P131" s="1" t="s">
        <v>53</v>
      </c>
      <c r="Q131">
        <v>10</v>
      </c>
    </row>
    <row r="132" spans="1:17" x14ac:dyDescent="0.25">
      <c r="A132" s="1" t="s">
        <v>434</v>
      </c>
      <c r="B132" s="2">
        <v>46286</v>
      </c>
      <c r="C132">
        <v>2026</v>
      </c>
      <c r="D132" s="1" t="s">
        <v>368</v>
      </c>
      <c r="E132" s="1" t="s">
        <v>435</v>
      </c>
      <c r="F132" s="1" t="s">
        <v>265</v>
      </c>
      <c r="G132" s="1" t="s">
        <v>266</v>
      </c>
      <c r="H132" s="1" t="s">
        <v>59</v>
      </c>
      <c r="I132" s="1" t="s">
        <v>46</v>
      </c>
      <c r="J132">
        <v>14</v>
      </c>
      <c r="K132">
        <v>153.19999999999999</v>
      </c>
      <c r="L132">
        <v>1452.04</v>
      </c>
      <c r="M132">
        <v>2144.7999999999997</v>
      </c>
      <c r="N132">
        <v>692.75999999999976</v>
      </c>
      <c r="O132" s="1" t="s">
        <v>24</v>
      </c>
      <c r="P132" s="1" t="s">
        <v>61</v>
      </c>
      <c r="Q132">
        <v>9</v>
      </c>
    </row>
    <row r="133" spans="1:17" x14ac:dyDescent="0.25">
      <c r="A133" s="1" t="s">
        <v>436</v>
      </c>
      <c r="B133" s="2">
        <v>46116</v>
      </c>
      <c r="C133">
        <v>2026</v>
      </c>
      <c r="D133" s="1" t="s">
        <v>437</v>
      </c>
      <c r="E133" s="1" t="s">
        <v>205</v>
      </c>
      <c r="F133" s="1" t="s">
        <v>144</v>
      </c>
      <c r="G133" s="1" t="s">
        <v>145</v>
      </c>
      <c r="H133" s="1" t="s">
        <v>39</v>
      </c>
      <c r="I133" s="1" t="s">
        <v>23</v>
      </c>
      <c r="J133">
        <v>20</v>
      </c>
      <c r="K133">
        <v>206.76</v>
      </c>
      <c r="L133">
        <v>2942.81</v>
      </c>
      <c r="M133">
        <v>4135.2</v>
      </c>
      <c r="N133">
        <v>1192.3899999999999</v>
      </c>
      <c r="O133" s="1" t="s">
        <v>47</v>
      </c>
      <c r="P133" s="1" t="s">
        <v>48</v>
      </c>
      <c r="Q133">
        <v>4</v>
      </c>
    </row>
    <row r="134" spans="1:17" x14ac:dyDescent="0.25">
      <c r="A134" s="1" t="s">
        <v>438</v>
      </c>
      <c r="B134" s="2">
        <v>46183</v>
      </c>
      <c r="C134">
        <v>2026</v>
      </c>
      <c r="D134" s="1" t="s">
        <v>63</v>
      </c>
      <c r="E134" s="1" t="s">
        <v>439</v>
      </c>
      <c r="F134" s="1" t="s">
        <v>440</v>
      </c>
      <c r="G134" s="1" t="s">
        <v>441</v>
      </c>
      <c r="H134" s="1" t="s">
        <v>45</v>
      </c>
      <c r="I134" s="1" t="s">
        <v>46</v>
      </c>
      <c r="J134">
        <v>10</v>
      </c>
      <c r="K134">
        <v>322.77</v>
      </c>
      <c r="L134">
        <v>2632.17</v>
      </c>
      <c r="M134">
        <v>3227.7</v>
      </c>
      <c r="N134">
        <v>595.52999999999975</v>
      </c>
      <c r="O134" s="1" t="s">
        <v>47</v>
      </c>
      <c r="P134" s="1" t="s">
        <v>171</v>
      </c>
      <c r="Q134">
        <v>6</v>
      </c>
    </row>
    <row r="135" spans="1:17" x14ac:dyDescent="0.25">
      <c r="A135" s="1" t="s">
        <v>442</v>
      </c>
      <c r="B135" s="2">
        <v>46142</v>
      </c>
      <c r="C135">
        <v>2026</v>
      </c>
      <c r="D135" s="1" t="s">
        <v>443</v>
      </c>
      <c r="E135" s="1" t="s">
        <v>244</v>
      </c>
      <c r="F135" s="1" t="s">
        <v>149</v>
      </c>
      <c r="G135" s="1" t="s">
        <v>150</v>
      </c>
      <c r="H135" s="1" t="s">
        <v>22</v>
      </c>
      <c r="I135" s="1" t="s">
        <v>46</v>
      </c>
      <c r="J135">
        <v>9</v>
      </c>
      <c r="K135">
        <v>133.11000000000001</v>
      </c>
      <c r="L135">
        <v>755.77</v>
      </c>
      <c r="M135">
        <v>1197.9900000000002</v>
      </c>
      <c r="N135">
        <v>442.22000000000025</v>
      </c>
      <c r="O135" s="1" t="s">
        <v>47</v>
      </c>
      <c r="P135" s="1" t="s">
        <v>48</v>
      </c>
      <c r="Q135">
        <v>4</v>
      </c>
    </row>
    <row r="136" spans="1:17" x14ac:dyDescent="0.25">
      <c r="A136" s="1" t="s">
        <v>444</v>
      </c>
      <c r="B136" s="2">
        <v>46260</v>
      </c>
      <c r="C136">
        <v>2026</v>
      </c>
      <c r="D136" s="1" t="s">
        <v>50</v>
      </c>
      <c r="E136" s="1" t="s">
        <v>239</v>
      </c>
      <c r="F136" s="1" t="s">
        <v>179</v>
      </c>
      <c r="G136" s="1" t="s">
        <v>180</v>
      </c>
      <c r="H136" s="1" t="s">
        <v>78</v>
      </c>
      <c r="I136" s="1" t="s">
        <v>46</v>
      </c>
      <c r="J136">
        <v>1</v>
      </c>
      <c r="K136">
        <v>191.69</v>
      </c>
      <c r="L136">
        <v>114.37</v>
      </c>
      <c r="M136">
        <v>191.69</v>
      </c>
      <c r="N136">
        <v>77.319999999999993</v>
      </c>
      <c r="O136" s="1" t="s">
        <v>24</v>
      </c>
      <c r="P136" s="1" t="s">
        <v>101</v>
      </c>
      <c r="Q136">
        <v>8</v>
      </c>
    </row>
    <row r="137" spans="1:17" x14ac:dyDescent="0.25">
      <c r="A137" s="1" t="s">
        <v>445</v>
      </c>
      <c r="B137" s="2">
        <v>46373</v>
      </c>
      <c r="C137">
        <v>2026</v>
      </c>
      <c r="D137" s="1" t="s">
        <v>349</v>
      </c>
      <c r="E137" s="1" t="s">
        <v>351</v>
      </c>
      <c r="F137" s="1" t="s">
        <v>82</v>
      </c>
      <c r="G137" s="1" t="s">
        <v>83</v>
      </c>
      <c r="H137" s="1" t="s">
        <v>45</v>
      </c>
      <c r="I137" s="1" t="s">
        <v>60</v>
      </c>
      <c r="J137">
        <v>4</v>
      </c>
      <c r="K137">
        <v>278.69</v>
      </c>
      <c r="L137">
        <v>585.94000000000005</v>
      </c>
      <c r="M137">
        <v>1114.76</v>
      </c>
      <c r="N137">
        <v>528.81999999999994</v>
      </c>
      <c r="O137" s="1" t="s">
        <v>52</v>
      </c>
      <c r="P137" s="1" t="s">
        <v>67</v>
      </c>
      <c r="Q137">
        <v>12</v>
      </c>
    </row>
    <row r="138" spans="1:17" x14ac:dyDescent="0.25">
      <c r="A138" s="1" t="s">
        <v>446</v>
      </c>
      <c r="B138" s="2">
        <v>46311</v>
      </c>
      <c r="C138">
        <v>2026</v>
      </c>
      <c r="D138" s="1" t="s">
        <v>248</v>
      </c>
      <c r="E138" s="1" t="s">
        <v>239</v>
      </c>
      <c r="F138" s="1" t="s">
        <v>175</v>
      </c>
      <c r="G138" s="1" t="s">
        <v>176</v>
      </c>
      <c r="H138" s="1" t="s">
        <v>59</v>
      </c>
      <c r="I138" s="1" t="s">
        <v>46</v>
      </c>
      <c r="J138">
        <v>18</v>
      </c>
      <c r="K138">
        <v>361.23</v>
      </c>
      <c r="L138">
        <v>4393.2</v>
      </c>
      <c r="M138">
        <v>6502.14</v>
      </c>
      <c r="N138">
        <v>2108.9400000000005</v>
      </c>
      <c r="O138" s="1" t="s">
        <v>52</v>
      </c>
      <c r="P138" s="1" t="s">
        <v>53</v>
      </c>
      <c r="Q138">
        <v>10</v>
      </c>
    </row>
    <row r="139" spans="1:17" x14ac:dyDescent="0.25">
      <c r="A139" s="1" t="s">
        <v>447</v>
      </c>
      <c r="B139" s="2">
        <v>46180</v>
      </c>
      <c r="C139">
        <v>2026</v>
      </c>
      <c r="D139" s="1" t="s">
        <v>41</v>
      </c>
      <c r="E139" s="1" t="s">
        <v>448</v>
      </c>
      <c r="F139" s="1" t="s">
        <v>211</v>
      </c>
      <c r="G139" s="1" t="s">
        <v>212</v>
      </c>
      <c r="H139" s="1" t="s">
        <v>39</v>
      </c>
      <c r="I139" s="1" t="s">
        <v>31</v>
      </c>
      <c r="J139">
        <v>3</v>
      </c>
      <c r="K139">
        <v>453.53</v>
      </c>
      <c r="L139">
        <v>1103.23</v>
      </c>
      <c r="M139">
        <v>1360.59</v>
      </c>
      <c r="N139">
        <v>257.3599999999999</v>
      </c>
      <c r="O139" s="1" t="s">
        <v>47</v>
      </c>
      <c r="P139" s="1" t="s">
        <v>171</v>
      </c>
      <c r="Q139">
        <v>6</v>
      </c>
    </row>
    <row r="140" spans="1:17" x14ac:dyDescent="0.25">
      <c r="A140" s="1" t="s">
        <v>449</v>
      </c>
      <c r="B140" s="2">
        <v>46338</v>
      </c>
      <c r="C140">
        <v>2026</v>
      </c>
      <c r="D140" s="1" t="s">
        <v>450</v>
      </c>
      <c r="E140" s="1" t="s">
        <v>451</v>
      </c>
      <c r="F140" s="1" t="s">
        <v>410</v>
      </c>
      <c r="G140" s="1" t="s">
        <v>411</v>
      </c>
      <c r="H140" s="1" t="s">
        <v>78</v>
      </c>
      <c r="I140" s="1" t="s">
        <v>60</v>
      </c>
      <c r="J140">
        <v>8</v>
      </c>
      <c r="K140">
        <v>412.87</v>
      </c>
      <c r="L140">
        <v>2797.84</v>
      </c>
      <c r="M140">
        <v>3302.96</v>
      </c>
      <c r="N140">
        <v>505.11999999999989</v>
      </c>
      <c r="O140" s="1" t="s">
        <v>52</v>
      </c>
      <c r="P140" s="1" t="s">
        <v>134</v>
      </c>
      <c r="Q140">
        <v>11</v>
      </c>
    </row>
    <row r="141" spans="1:17" x14ac:dyDescent="0.25">
      <c r="A141" s="1" t="s">
        <v>452</v>
      </c>
      <c r="B141" s="2">
        <v>46173</v>
      </c>
      <c r="C141">
        <v>2026</v>
      </c>
      <c r="D141" s="1" t="s">
        <v>393</v>
      </c>
      <c r="E141" s="1" t="s">
        <v>453</v>
      </c>
      <c r="F141" s="1" t="s">
        <v>169</v>
      </c>
      <c r="G141" s="1" t="s">
        <v>170</v>
      </c>
      <c r="H141" s="1" t="s">
        <v>78</v>
      </c>
      <c r="I141" s="1" t="s">
        <v>31</v>
      </c>
      <c r="J141">
        <v>1</v>
      </c>
      <c r="K141">
        <v>89.08</v>
      </c>
      <c r="L141">
        <v>54.93</v>
      </c>
      <c r="M141">
        <v>89.08</v>
      </c>
      <c r="N141">
        <v>34.15</v>
      </c>
      <c r="O141" s="1" t="s">
        <v>47</v>
      </c>
      <c r="P141" s="1" t="s">
        <v>92</v>
      </c>
      <c r="Q141">
        <v>5</v>
      </c>
    </row>
    <row r="142" spans="1:17" x14ac:dyDescent="0.25">
      <c r="A142" s="1" t="s">
        <v>454</v>
      </c>
      <c r="B142" s="2">
        <v>46326</v>
      </c>
      <c r="C142">
        <v>2026</v>
      </c>
      <c r="D142" s="1" t="s">
        <v>353</v>
      </c>
      <c r="E142" s="1" t="s">
        <v>455</v>
      </c>
      <c r="F142" s="1" t="s">
        <v>456</v>
      </c>
      <c r="G142" s="1" t="s">
        <v>457</v>
      </c>
      <c r="H142" s="1" t="s">
        <v>111</v>
      </c>
      <c r="I142" s="1" t="s">
        <v>23</v>
      </c>
      <c r="J142">
        <v>16</v>
      </c>
      <c r="K142">
        <v>165.49</v>
      </c>
      <c r="L142">
        <v>1652.02</v>
      </c>
      <c r="M142">
        <v>2647.84</v>
      </c>
      <c r="N142">
        <v>995.82000000000016</v>
      </c>
      <c r="O142" s="1" t="s">
        <v>52</v>
      </c>
      <c r="P142" s="1" t="s">
        <v>53</v>
      </c>
      <c r="Q142">
        <v>10</v>
      </c>
    </row>
    <row r="143" spans="1:17" x14ac:dyDescent="0.25">
      <c r="A143" s="1" t="s">
        <v>458</v>
      </c>
      <c r="B143" s="2">
        <v>46253</v>
      </c>
      <c r="C143">
        <v>2026</v>
      </c>
      <c r="D143" s="1" t="s">
        <v>414</v>
      </c>
      <c r="E143" s="1" t="s">
        <v>36</v>
      </c>
      <c r="F143" s="1" t="s">
        <v>339</v>
      </c>
      <c r="G143" s="1" t="s">
        <v>340</v>
      </c>
      <c r="H143" s="1" t="s">
        <v>78</v>
      </c>
      <c r="I143" s="1" t="s">
        <v>46</v>
      </c>
      <c r="J143">
        <v>16</v>
      </c>
      <c r="K143">
        <v>184.64</v>
      </c>
      <c r="L143">
        <v>1732.49</v>
      </c>
      <c r="M143">
        <v>2954.24</v>
      </c>
      <c r="N143">
        <v>1221.7499999999998</v>
      </c>
      <c r="O143" s="1" t="s">
        <v>24</v>
      </c>
      <c r="P143" s="1" t="s">
        <v>101</v>
      </c>
      <c r="Q143">
        <v>8</v>
      </c>
    </row>
    <row r="144" spans="1:17" x14ac:dyDescent="0.25">
      <c r="A144" s="1" t="s">
        <v>459</v>
      </c>
      <c r="B144" s="2">
        <v>46080</v>
      </c>
      <c r="C144">
        <v>2026</v>
      </c>
      <c r="D144" s="1" t="s">
        <v>35</v>
      </c>
      <c r="E144" s="1" t="s">
        <v>220</v>
      </c>
      <c r="F144" s="1" t="s">
        <v>164</v>
      </c>
      <c r="G144" s="1" t="s">
        <v>165</v>
      </c>
      <c r="H144" s="1" t="s">
        <v>22</v>
      </c>
      <c r="I144" s="1" t="s">
        <v>60</v>
      </c>
      <c r="J144">
        <v>8</v>
      </c>
      <c r="K144">
        <v>37.770000000000003</v>
      </c>
      <c r="L144">
        <v>204.44</v>
      </c>
      <c r="M144">
        <v>302.16000000000003</v>
      </c>
      <c r="N144">
        <v>97.720000000000027</v>
      </c>
      <c r="O144" s="1" t="s">
        <v>32</v>
      </c>
      <c r="P144" s="1" t="s">
        <v>84</v>
      </c>
      <c r="Q144">
        <v>2</v>
      </c>
    </row>
    <row r="145" spans="1:17" x14ac:dyDescent="0.25">
      <c r="A145" s="1" t="s">
        <v>460</v>
      </c>
      <c r="B145" s="2">
        <v>46053</v>
      </c>
      <c r="C145">
        <v>2026</v>
      </c>
      <c r="D145" s="1" t="s">
        <v>373</v>
      </c>
      <c r="E145" s="1" t="s">
        <v>100</v>
      </c>
      <c r="F145" s="1" t="s">
        <v>206</v>
      </c>
      <c r="G145" s="1" t="s">
        <v>207</v>
      </c>
      <c r="H145" s="1" t="s">
        <v>39</v>
      </c>
      <c r="I145" s="1" t="s">
        <v>60</v>
      </c>
      <c r="J145">
        <v>14</v>
      </c>
      <c r="K145">
        <v>68.94</v>
      </c>
      <c r="L145">
        <v>513.74</v>
      </c>
      <c r="M145">
        <v>965.16</v>
      </c>
      <c r="N145">
        <v>451.41999999999996</v>
      </c>
      <c r="O145" s="1" t="s">
        <v>32</v>
      </c>
      <c r="P145" s="1" t="s">
        <v>33</v>
      </c>
      <c r="Q145">
        <v>1</v>
      </c>
    </row>
    <row r="146" spans="1:17" x14ac:dyDescent="0.25">
      <c r="A146" s="1" t="s">
        <v>461</v>
      </c>
      <c r="B146" s="2">
        <v>46272</v>
      </c>
      <c r="C146">
        <v>2026</v>
      </c>
      <c r="D146" s="1" t="s">
        <v>462</v>
      </c>
      <c r="E146" s="1" t="s">
        <v>463</v>
      </c>
      <c r="F146" s="1" t="s">
        <v>144</v>
      </c>
      <c r="G146" s="1" t="s">
        <v>145</v>
      </c>
      <c r="H146" s="1" t="s">
        <v>39</v>
      </c>
      <c r="I146" s="1" t="s">
        <v>31</v>
      </c>
      <c r="J146">
        <v>19</v>
      </c>
      <c r="K146">
        <v>429.73</v>
      </c>
      <c r="L146">
        <v>5873.13</v>
      </c>
      <c r="M146">
        <v>8164.8700000000008</v>
      </c>
      <c r="N146">
        <v>2291.7400000000007</v>
      </c>
      <c r="O146" s="1" t="s">
        <v>24</v>
      </c>
      <c r="P146" s="1" t="s">
        <v>61</v>
      </c>
      <c r="Q146">
        <v>9</v>
      </c>
    </row>
    <row r="147" spans="1:17" x14ac:dyDescent="0.25">
      <c r="A147" s="1" t="s">
        <v>464</v>
      </c>
      <c r="B147" s="2">
        <v>46123</v>
      </c>
      <c r="C147">
        <v>2026</v>
      </c>
      <c r="D147" s="1" t="s">
        <v>437</v>
      </c>
      <c r="E147" s="1" t="s">
        <v>271</v>
      </c>
      <c r="F147" s="1" t="s">
        <v>329</v>
      </c>
      <c r="G147" s="1" t="s">
        <v>330</v>
      </c>
      <c r="H147" s="1" t="s">
        <v>78</v>
      </c>
      <c r="I147" s="1" t="s">
        <v>31</v>
      </c>
      <c r="J147">
        <v>6</v>
      </c>
      <c r="K147">
        <v>98.15</v>
      </c>
      <c r="L147">
        <v>365.28</v>
      </c>
      <c r="M147">
        <v>588.90000000000009</v>
      </c>
      <c r="N147">
        <v>223.62000000000012</v>
      </c>
      <c r="O147" s="1" t="s">
        <v>47</v>
      </c>
      <c r="P147" s="1" t="s">
        <v>48</v>
      </c>
      <c r="Q147">
        <v>4</v>
      </c>
    </row>
    <row r="148" spans="1:17" x14ac:dyDescent="0.25">
      <c r="A148" s="1" t="s">
        <v>465</v>
      </c>
      <c r="B148" s="2">
        <v>46062</v>
      </c>
      <c r="C148">
        <v>2026</v>
      </c>
      <c r="D148" s="1" t="s">
        <v>368</v>
      </c>
      <c r="E148" s="1" t="s">
        <v>56</v>
      </c>
      <c r="F148" s="1" t="s">
        <v>154</v>
      </c>
      <c r="G148" s="1" t="s">
        <v>155</v>
      </c>
      <c r="H148" s="1" t="s">
        <v>22</v>
      </c>
      <c r="I148" s="1" t="s">
        <v>60</v>
      </c>
      <c r="J148">
        <v>7</v>
      </c>
      <c r="K148">
        <v>48.73</v>
      </c>
      <c r="L148">
        <v>182.38</v>
      </c>
      <c r="M148">
        <v>341.10999999999996</v>
      </c>
      <c r="N148">
        <v>158.72999999999996</v>
      </c>
      <c r="O148" s="1" t="s">
        <v>32</v>
      </c>
      <c r="P148" s="1" t="s">
        <v>84</v>
      </c>
      <c r="Q148">
        <v>2</v>
      </c>
    </row>
    <row r="149" spans="1:17" x14ac:dyDescent="0.25">
      <c r="A149" s="1" t="s">
        <v>466</v>
      </c>
      <c r="B149" s="2">
        <v>46050</v>
      </c>
      <c r="C149">
        <v>2026</v>
      </c>
      <c r="D149" s="1" t="s">
        <v>304</v>
      </c>
      <c r="E149" s="1" t="s">
        <v>467</v>
      </c>
      <c r="F149" s="1" t="s">
        <v>329</v>
      </c>
      <c r="G149" s="1" t="s">
        <v>330</v>
      </c>
      <c r="H149" s="1" t="s">
        <v>78</v>
      </c>
      <c r="I149" s="1" t="s">
        <v>60</v>
      </c>
      <c r="J149">
        <v>1</v>
      </c>
      <c r="K149">
        <v>258.31</v>
      </c>
      <c r="L149">
        <v>196.61</v>
      </c>
      <c r="M149">
        <v>258.31</v>
      </c>
      <c r="N149">
        <v>61.699999999999989</v>
      </c>
      <c r="O149" s="1" t="s">
        <v>32</v>
      </c>
      <c r="P149" s="1" t="s">
        <v>33</v>
      </c>
      <c r="Q149">
        <v>1</v>
      </c>
    </row>
    <row r="150" spans="1:17" x14ac:dyDescent="0.25">
      <c r="A150" s="1" t="s">
        <v>468</v>
      </c>
      <c r="B150" s="2">
        <v>46069</v>
      </c>
      <c r="C150">
        <v>2026</v>
      </c>
      <c r="D150" s="1" t="s">
        <v>255</v>
      </c>
      <c r="E150" s="1" t="s">
        <v>469</v>
      </c>
      <c r="F150" s="1" t="s">
        <v>456</v>
      </c>
      <c r="G150" s="1" t="s">
        <v>457</v>
      </c>
      <c r="H150" s="1" t="s">
        <v>111</v>
      </c>
      <c r="I150" s="1" t="s">
        <v>23</v>
      </c>
      <c r="J150">
        <v>5</v>
      </c>
      <c r="K150">
        <v>301.70999999999998</v>
      </c>
      <c r="L150">
        <v>946.8</v>
      </c>
      <c r="M150">
        <v>1508.55</v>
      </c>
      <c r="N150">
        <v>561.75</v>
      </c>
      <c r="O150" s="1" t="s">
        <v>32</v>
      </c>
      <c r="P150" s="1" t="s">
        <v>84</v>
      </c>
      <c r="Q150">
        <v>2</v>
      </c>
    </row>
    <row r="151" spans="1:17" x14ac:dyDescent="0.25">
      <c r="A151" s="1" t="s">
        <v>470</v>
      </c>
      <c r="B151" s="2">
        <v>46378</v>
      </c>
      <c r="C151">
        <v>2026</v>
      </c>
      <c r="D151" s="1" t="s">
        <v>99</v>
      </c>
      <c r="E151" s="1" t="s">
        <v>471</v>
      </c>
      <c r="F151" s="1" t="s">
        <v>440</v>
      </c>
      <c r="G151" s="1" t="s">
        <v>441</v>
      </c>
      <c r="H151" s="1" t="s">
        <v>45</v>
      </c>
      <c r="I151" s="1" t="s">
        <v>31</v>
      </c>
      <c r="J151">
        <v>11</v>
      </c>
      <c r="K151">
        <v>466.27</v>
      </c>
      <c r="L151">
        <v>4135.12</v>
      </c>
      <c r="M151">
        <v>5128.9699999999993</v>
      </c>
      <c r="N151">
        <v>993.84999999999945</v>
      </c>
      <c r="O151" s="1" t="s">
        <v>52</v>
      </c>
      <c r="P151" s="1" t="s">
        <v>67</v>
      </c>
      <c r="Q151">
        <v>12</v>
      </c>
    </row>
    <row r="152" spans="1:17" x14ac:dyDescent="0.25">
      <c r="A152" s="1" t="s">
        <v>472</v>
      </c>
      <c r="B152" s="2">
        <v>46130</v>
      </c>
      <c r="C152">
        <v>2026</v>
      </c>
      <c r="D152" s="1" t="s">
        <v>132</v>
      </c>
      <c r="E152" s="1" t="s">
        <v>473</v>
      </c>
      <c r="F152" s="1" t="s">
        <v>65</v>
      </c>
      <c r="G152" s="1" t="s">
        <v>66</v>
      </c>
      <c r="H152" s="1" t="s">
        <v>59</v>
      </c>
      <c r="I152" s="1" t="s">
        <v>60</v>
      </c>
      <c r="J152">
        <v>7</v>
      </c>
      <c r="K152">
        <v>219.37</v>
      </c>
      <c r="L152">
        <v>1121.56</v>
      </c>
      <c r="M152">
        <v>1535.5900000000001</v>
      </c>
      <c r="N152">
        <v>414.0300000000002</v>
      </c>
      <c r="O152" s="1" t="s">
        <v>47</v>
      </c>
      <c r="P152" s="1" t="s">
        <v>48</v>
      </c>
      <c r="Q152">
        <v>4</v>
      </c>
    </row>
    <row r="153" spans="1:17" x14ac:dyDescent="0.25">
      <c r="A153" s="1" t="s">
        <v>474</v>
      </c>
      <c r="B153" s="2">
        <v>46327</v>
      </c>
      <c r="C153">
        <v>2026</v>
      </c>
      <c r="D153" s="1" t="s">
        <v>475</v>
      </c>
      <c r="E153" s="1" t="s">
        <v>100</v>
      </c>
      <c r="F153" s="1" t="s">
        <v>29</v>
      </c>
      <c r="G153" s="1" t="s">
        <v>30</v>
      </c>
      <c r="H153" s="1" t="s">
        <v>22</v>
      </c>
      <c r="I153" s="1" t="s">
        <v>46</v>
      </c>
      <c r="J153">
        <v>3</v>
      </c>
      <c r="K153">
        <v>355.71</v>
      </c>
      <c r="L153">
        <v>555.44000000000005</v>
      </c>
      <c r="M153">
        <v>1067.1299999999999</v>
      </c>
      <c r="N153">
        <v>511.68999999999983</v>
      </c>
      <c r="O153" s="1" t="s">
        <v>52</v>
      </c>
      <c r="P153" s="1" t="s">
        <v>134</v>
      </c>
      <c r="Q153">
        <v>11</v>
      </c>
    </row>
    <row r="154" spans="1:17" x14ac:dyDescent="0.25">
      <c r="A154" s="1" t="s">
        <v>476</v>
      </c>
      <c r="B154" s="2">
        <v>46089</v>
      </c>
      <c r="C154">
        <v>2026</v>
      </c>
      <c r="D154" s="1" t="s">
        <v>273</v>
      </c>
      <c r="E154" s="1" t="s">
        <v>477</v>
      </c>
      <c r="F154" s="1" t="s">
        <v>76</v>
      </c>
      <c r="G154" s="1" t="s">
        <v>77</v>
      </c>
      <c r="H154" s="1" t="s">
        <v>78</v>
      </c>
      <c r="I154" s="1" t="s">
        <v>31</v>
      </c>
      <c r="J154">
        <v>6</v>
      </c>
      <c r="K154">
        <v>472.14</v>
      </c>
      <c r="L154">
        <v>2250.62</v>
      </c>
      <c r="M154">
        <v>2832.84</v>
      </c>
      <c r="N154">
        <v>582.22000000000025</v>
      </c>
      <c r="O154" s="1" t="s">
        <v>32</v>
      </c>
      <c r="P154" s="1" t="s">
        <v>88</v>
      </c>
      <c r="Q154">
        <v>3</v>
      </c>
    </row>
    <row r="155" spans="1:17" x14ac:dyDescent="0.25">
      <c r="A155" s="1" t="s">
        <v>478</v>
      </c>
      <c r="B155" s="2">
        <v>46231</v>
      </c>
      <c r="C155">
        <v>2026</v>
      </c>
      <c r="D155" s="1" t="s">
        <v>479</v>
      </c>
      <c r="E155" s="1" t="s">
        <v>127</v>
      </c>
      <c r="F155" s="1" t="s">
        <v>105</v>
      </c>
      <c r="G155" s="1" t="s">
        <v>106</v>
      </c>
      <c r="H155" s="1" t="s">
        <v>78</v>
      </c>
      <c r="I155" s="1" t="s">
        <v>23</v>
      </c>
      <c r="J155">
        <v>11</v>
      </c>
      <c r="K155">
        <v>216.74</v>
      </c>
      <c r="L155">
        <v>1646.84</v>
      </c>
      <c r="M155">
        <v>2384.1400000000003</v>
      </c>
      <c r="N155">
        <v>737.30000000000041</v>
      </c>
      <c r="O155" s="1" t="s">
        <v>24</v>
      </c>
      <c r="P155" s="1" t="s">
        <v>25</v>
      </c>
      <c r="Q155">
        <v>7</v>
      </c>
    </row>
    <row r="156" spans="1:17" x14ac:dyDescent="0.25">
      <c r="A156" s="1" t="s">
        <v>480</v>
      </c>
      <c r="B156" s="2">
        <v>46288</v>
      </c>
      <c r="C156">
        <v>2026</v>
      </c>
      <c r="D156" s="1" t="s">
        <v>279</v>
      </c>
      <c r="E156" s="1" t="s">
        <v>481</v>
      </c>
      <c r="F156" s="1" t="s">
        <v>37</v>
      </c>
      <c r="G156" s="1" t="s">
        <v>38</v>
      </c>
      <c r="H156" s="1" t="s">
        <v>39</v>
      </c>
      <c r="I156" s="1" t="s">
        <v>60</v>
      </c>
      <c r="J156">
        <v>12</v>
      </c>
      <c r="K156">
        <v>131.26</v>
      </c>
      <c r="L156">
        <v>1100.57</v>
      </c>
      <c r="M156">
        <v>1575.12</v>
      </c>
      <c r="N156">
        <v>474.54999999999995</v>
      </c>
      <c r="O156" s="1" t="s">
        <v>24</v>
      </c>
      <c r="P156" s="1" t="s">
        <v>61</v>
      </c>
      <c r="Q156">
        <v>9</v>
      </c>
    </row>
    <row r="157" spans="1:17" x14ac:dyDescent="0.25">
      <c r="A157" s="1" t="s">
        <v>482</v>
      </c>
      <c r="B157" s="2">
        <v>46211</v>
      </c>
      <c r="C157">
        <v>2026</v>
      </c>
      <c r="D157" s="1" t="s">
        <v>483</v>
      </c>
      <c r="E157" s="1" t="s">
        <v>484</v>
      </c>
      <c r="F157" s="1" t="s">
        <v>105</v>
      </c>
      <c r="G157" s="1" t="s">
        <v>106</v>
      </c>
      <c r="H157" s="1" t="s">
        <v>78</v>
      </c>
      <c r="I157" s="1" t="s">
        <v>31</v>
      </c>
      <c r="J157">
        <v>1</v>
      </c>
      <c r="K157">
        <v>243.83</v>
      </c>
      <c r="L157">
        <v>177.91</v>
      </c>
      <c r="M157">
        <v>243.83</v>
      </c>
      <c r="N157">
        <v>65.920000000000016</v>
      </c>
      <c r="O157" s="1" t="s">
        <v>24</v>
      </c>
      <c r="P157" s="1" t="s">
        <v>25</v>
      </c>
      <c r="Q157">
        <v>7</v>
      </c>
    </row>
    <row r="158" spans="1:17" x14ac:dyDescent="0.25">
      <c r="A158" s="1" t="s">
        <v>485</v>
      </c>
      <c r="B158" s="2">
        <v>46137</v>
      </c>
      <c r="C158">
        <v>2026</v>
      </c>
      <c r="D158" s="1" t="s">
        <v>486</v>
      </c>
      <c r="E158" s="1" t="s">
        <v>429</v>
      </c>
      <c r="F158" s="1" t="s">
        <v>185</v>
      </c>
      <c r="G158" s="1" t="s">
        <v>186</v>
      </c>
      <c r="H158" s="1" t="s">
        <v>22</v>
      </c>
      <c r="I158" s="1" t="s">
        <v>23</v>
      </c>
      <c r="J158">
        <v>3</v>
      </c>
      <c r="K158">
        <v>87.42</v>
      </c>
      <c r="L158">
        <v>197.17</v>
      </c>
      <c r="M158">
        <v>262.26</v>
      </c>
      <c r="N158">
        <v>65.09</v>
      </c>
      <c r="O158" s="1" t="s">
        <v>47</v>
      </c>
      <c r="P158" s="1" t="s">
        <v>48</v>
      </c>
      <c r="Q158">
        <v>4</v>
      </c>
    </row>
    <row r="159" spans="1:17" x14ac:dyDescent="0.25">
      <c r="A159" s="1" t="s">
        <v>487</v>
      </c>
      <c r="B159" s="2">
        <v>46169</v>
      </c>
      <c r="C159">
        <v>2026</v>
      </c>
      <c r="D159" s="1" t="s">
        <v>488</v>
      </c>
      <c r="E159" s="1" t="s">
        <v>489</v>
      </c>
      <c r="F159" s="1" t="s">
        <v>185</v>
      </c>
      <c r="G159" s="1" t="s">
        <v>186</v>
      </c>
      <c r="H159" s="1" t="s">
        <v>22</v>
      </c>
      <c r="I159" s="1" t="s">
        <v>23</v>
      </c>
      <c r="J159">
        <v>5</v>
      </c>
      <c r="K159">
        <v>384.53</v>
      </c>
      <c r="L159">
        <v>1557.04</v>
      </c>
      <c r="M159">
        <v>1922.6499999999999</v>
      </c>
      <c r="N159">
        <v>365.6099999999999</v>
      </c>
      <c r="O159" s="1" t="s">
        <v>47</v>
      </c>
      <c r="P159" s="1" t="s">
        <v>92</v>
      </c>
      <c r="Q159">
        <v>5</v>
      </c>
    </row>
    <row r="160" spans="1:17" x14ac:dyDescent="0.25">
      <c r="A160" s="1" t="s">
        <v>490</v>
      </c>
      <c r="B160" s="2">
        <v>46260</v>
      </c>
      <c r="C160">
        <v>2026</v>
      </c>
      <c r="D160" s="1" t="s">
        <v>332</v>
      </c>
      <c r="E160" s="1" t="s">
        <v>427</v>
      </c>
      <c r="F160" s="1" t="s">
        <v>20</v>
      </c>
      <c r="G160" s="1" t="s">
        <v>21</v>
      </c>
      <c r="H160" s="1" t="s">
        <v>22</v>
      </c>
      <c r="I160" s="1" t="s">
        <v>60</v>
      </c>
      <c r="J160">
        <v>5</v>
      </c>
      <c r="K160">
        <v>489.97</v>
      </c>
      <c r="L160">
        <v>1667.25</v>
      </c>
      <c r="M160">
        <v>2449.8500000000004</v>
      </c>
      <c r="N160">
        <v>782.60000000000036</v>
      </c>
      <c r="O160" s="1" t="s">
        <v>24</v>
      </c>
      <c r="P160" s="1" t="s">
        <v>101</v>
      </c>
      <c r="Q160">
        <v>8</v>
      </c>
    </row>
    <row r="161" spans="1:17" x14ac:dyDescent="0.25">
      <c r="A161" s="1" t="s">
        <v>491</v>
      </c>
      <c r="B161" s="2">
        <v>46290</v>
      </c>
      <c r="C161">
        <v>2026</v>
      </c>
      <c r="D161" s="1" t="s">
        <v>263</v>
      </c>
      <c r="E161" s="1" t="s">
        <v>343</v>
      </c>
      <c r="F161" s="1" t="s">
        <v>363</v>
      </c>
      <c r="G161" s="1" t="s">
        <v>364</v>
      </c>
      <c r="H161" s="1" t="s">
        <v>78</v>
      </c>
      <c r="I161" s="1" t="s">
        <v>23</v>
      </c>
      <c r="J161">
        <v>1</v>
      </c>
      <c r="K161">
        <v>290.45999999999998</v>
      </c>
      <c r="L161">
        <v>187.13</v>
      </c>
      <c r="M161">
        <v>290.45999999999998</v>
      </c>
      <c r="N161">
        <v>103.32999999999998</v>
      </c>
      <c r="O161" s="1" t="s">
        <v>24</v>
      </c>
      <c r="P161" s="1" t="s">
        <v>61</v>
      </c>
      <c r="Q161">
        <v>9</v>
      </c>
    </row>
    <row r="162" spans="1:17" x14ac:dyDescent="0.25">
      <c r="A162" s="1" t="s">
        <v>492</v>
      </c>
      <c r="B162" s="2">
        <v>46167</v>
      </c>
      <c r="C162">
        <v>2026</v>
      </c>
      <c r="D162" s="1" t="s">
        <v>255</v>
      </c>
      <c r="E162" s="1" t="s">
        <v>493</v>
      </c>
      <c r="F162" s="1" t="s">
        <v>339</v>
      </c>
      <c r="G162" s="1" t="s">
        <v>340</v>
      </c>
      <c r="H162" s="1" t="s">
        <v>78</v>
      </c>
      <c r="I162" s="1" t="s">
        <v>46</v>
      </c>
      <c r="J162">
        <v>18</v>
      </c>
      <c r="K162">
        <v>301.37</v>
      </c>
      <c r="L162">
        <v>3013.05</v>
      </c>
      <c r="M162">
        <v>5424.66</v>
      </c>
      <c r="N162">
        <v>2411.6099999999997</v>
      </c>
      <c r="O162" s="1" t="s">
        <v>47</v>
      </c>
      <c r="P162" s="1" t="s">
        <v>92</v>
      </c>
      <c r="Q162">
        <v>5</v>
      </c>
    </row>
    <row r="163" spans="1:17" x14ac:dyDescent="0.25">
      <c r="A163" s="1" t="s">
        <v>494</v>
      </c>
      <c r="B163" s="2">
        <v>46032</v>
      </c>
      <c r="C163">
        <v>2026</v>
      </c>
      <c r="D163" s="1" t="s">
        <v>495</v>
      </c>
      <c r="E163" s="1" t="s">
        <v>305</v>
      </c>
      <c r="F163" s="1" t="s">
        <v>20</v>
      </c>
      <c r="G163" s="1" t="s">
        <v>21</v>
      </c>
      <c r="H163" s="1" t="s">
        <v>22</v>
      </c>
      <c r="I163" s="1" t="s">
        <v>23</v>
      </c>
      <c r="J163">
        <v>4</v>
      </c>
      <c r="K163">
        <v>303.33999999999997</v>
      </c>
      <c r="L163">
        <v>865.96</v>
      </c>
      <c r="M163">
        <v>1213.3599999999999</v>
      </c>
      <c r="N163">
        <v>347.39999999999986</v>
      </c>
      <c r="O163" s="1" t="s">
        <v>32</v>
      </c>
      <c r="P163" s="1" t="s">
        <v>33</v>
      </c>
      <c r="Q163">
        <v>1</v>
      </c>
    </row>
    <row r="164" spans="1:17" x14ac:dyDescent="0.25">
      <c r="A164" s="1" t="s">
        <v>496</v>
      </c>
      <c r="B164" s="2">
        <v>46211</v>
      </c>
      <c r="C164">
        <v>2026</v>
      </c>
      <c r="D164" s="1" t="s">
        <v>147</v>
      </c>
      <c r="E164" s="1" t="s">
        <v>481</v>
      </c>
      <c r="F164" s="1" t="s">
        <v>29</v>
      </c>
      <c r="G164" s="1" t="s">
        <v>30</v>
      </c>
      <c r="H164" s="1" t="s">
        <v>22</v>
      </c>
      <c r="I164" s="1" t="s">
        <v>31</v>
      </c>
      <c r="J164">
        <v>12</v>
      </c>
      <c r="K164">
        <v>378.71</v>
      </c>
      <c r="L164">
        <v>3183.38</v>
      </c>
      <c r="M164">
        <v>4544.5199999999995</v>
      </c>
      <c r="N164">
        <v>1361.1399999999994</v>
      </c>
      <c r="O164" s="1" t="s">
        <v>24</v>
      </c>
      <c r="P164" s="1" t="s">
        <v>25</v>
      </c>
      <c r="Q164">
        <v>7</v>
      </c>
    </row>
    <row r="165" spans="1:17" x14ac:dyDescent="0.25">
      <c r="A165" s="1" t="s">
        <v>497</v>
      </c>
      <c r="B165" s="2">
        <v>46133</v>
      </c>
      <c r="C165">
        <v>2026</v>
      </c>
      <c r="D165" s="1" t="s">
        <v>323</v>
      </c>
      <c r="E165" s="1" t="s">
        <v>143</v>
      </c>
      <c r="F165" s="1" t="s">
        <v>456</v>
      </c>
      <c r="G165" s="1" t="s">
        <v>457</v>
      </c>
      <c r="H165" s="1" t="s">
        <v>111</v>
      </c>
      <c r="I165" s="1" t="s">
        <v>60</v>
      </c>
      <c r="J165">
        <v>12</v>
      </c>
      <c r="K165">
        <v>383.57</v>
      </c>
      <c r="L165">
        <v>2451.6</v>
      </c>
      <c r="M165">
        <v>4602.84</v>
      </c>
      <c r="N165">
        <v>2151.2400000000002</v>
      </c>
      <c r="O165" s="1" t="s">
        <v>47</v>
      </c>
      <c r="P165" s="1" t="s">
        <v>48</v>
      </c>
      <c r="Q165">
        <v>4</v>
      </c>
    </row>
    <row r="166" spans="1:17" x14ac:dyDescent="0.25">
      <c r="A166" s="1" t="s">
        <v>498</v>
      </c>
      <c r="B166" s="2">
        <v>46203</v>
      </c>
      <c r="C166">
        <v>2026</v>
      </c>
      <c r="D166" s="1" t="s">
        <v>132</v>
      </c>
      <c r="E166" s="1" t="s">
        <v>499</v>
      </c>
      <c r="F166" s="1" t="s">
        <v>500</v>
      </c>
      <c r="G166" s="1" t="s">
        <v>501</v>
      </c>
      <c r="H166" s="1" t="s">
        <v>111</v>
      </c>
      <c r="I166" s="1" t="s">
        <v>46</v>
      </c>
      <c r="J166">
        <v>10</v>
      </c>
      <c r="K166">
        <v>361.07</v>
      </c>
      <c r="L166">
        <v>2280.79</v>
      </c>
      <c r="M166">
        <v>3610.7</v>
      </c>
      <c r="N166">
        <v>1329.9099999999999</v>
      </c>
      <c r="O166" s="1" t="s">
        <v>47</v>
      </c>
      <c r="P166" s="1" t="s">
        <v>171</v>
      </c>
      <c r="Q166">
        <v>6</v>
      </c>
    </row>
    <row r="167" spans="1:17" x14ac:dyDescent="0.25">
      <c r="A167" s="1" t="s">
        <v>502</v>
      </c>
      <c r="B167" s="2">
        <v>46382</v>
      </c>
      <c r="C167">
        <v>2026</v>
      </c>
      <c r="D167" s="1" t="s">
        <v>323</v>
      </c>
      <c r="E167" s="1" t="s">
        <v>351</v>
      </c>
      <c r="F167" s="1" t="s">
        <v>202</v>
      </c>
      <c r="G167" s="1" t="s">
        <v>203</v>
      </c>
      <c r="H167" s="1" t="s">
        <v>111</v>
      </c>
      <c r="I167" s="1" t="s">
        <v>23</v>
      </c>
      <c r="J167">
        <v>12</v>
      </c>
      <c r="K167">
        <v>438.89</v>
      </c>
      <c r="L167">
        <v>3718.14</v>
      </c>
      <c r="M167">
        <v>5266.68</v>
      </c>
      <c r="N167">
        <v>1548.5400000000004</v>
      </c>
      <c r="O167" s="1" t="s">
        <v>52</v>
      </c>
      <c r="P167" s="1" t="s">
        <v>67</v>
      </c>
      <c r="Q167">
        <v>12</v>
      </c>
    </row>
    <row r="168" spans="1:17" x14ac:dyDescent="0.25">
      <c r="A168" s="1" t="s">
        <v>503</v>
      </c>
      <c r="B168" s="2">
        <v>46101</v>
      </c>
      <c r="C168">
        <v>2026</v>
      </c>
      <c r="D168" s="1" t="s">
        <v>323</v>
      </c>
      <c r="E168" s="1" t="s">
        <v>504</v>
      </c>
      <c r="F168" s="1" t="s">
        <v>169</v>
      </c>
      <c r="G168" s="1" t="s">
        <v>170</v>
      </c>
      <c r="H168" s="1" t="s">
        <v>78</v>
      </c>
      <c r="I168" s="1" t="s">
        <v>46</v>
      </c>
      <c r="J168">
        <v>10</v>
      </c>
      <c r="K168">
        <v>364.69</v>
      </c>
      <c r="L168">
        <v>2425.81</v>
      </c>
      <c r="M168">
        <v>3646.9</v>
      </c>
      <c r="N168">
        <v>1221.0900000000001</v>
      </c>
      <c r="O168" s="1" t="s">
        <v>32</v>
      </c>
      <c r="P168" s="1" t="s">
        <v>88</v>
      </c>
      <c r="Q168">
        <v>3</v>
      </c>
    </row>
    <row r="169" spans="1:17" x14ac:dyDescent="0.25">
      <c r="A169" s="1" t="s">
        <v>505</v>
      </c>
      <c r="B169" s="2">
        <v>46365</v>
      </c>
      <c r="C169">
        <v>2026</v>
      </c>
      <c r="D169" s="1" t="s">
        <v>475</v>
      </c>
      <c r="E169" s="1" t="s">
        <v>471</v>
      </c>
      <c r="F169" s="1" t="s">
        <v>76</v>
      </c>
      <c r="G169" s="1" t="s">
        <v>77</v>
      </c>
      <c r="H169" s="1" t="s">
        <v>78</v>
      </c>
      <c r="I169" s="1" t="s">
        <v>31</v>
      </c>
      <c r="J169">
        <v>5</v>
      </c>
      <c r="K169">
        <v>283.66000000000003</v>
      </c>
      <c r="L169">
        <v>1093.54</v>
      </c>
      <c r="M169">
        <v>1418.3000000000002</v>
      </c>
      <c r="N169">
        <v>324.76000000000022</v>
      </c>
      <c r="O169" s="1" t="s">
        <v>52</v>
      </c>
      <c r="P169" s="1" t="s">
        <v>67</v>
      </c>
      <c r="Q169">
        <v>12</v>
      </c>
    </row>
    <row r="170" spans="1:17" x14ac:dyDescent="0.25">
      <c r="A170" s="1" t="s">
        <v>506</v>
      </c>
      <c r="B170" s="2">
        <v>46380</v>
      </c>
      <c r="C170">
        <v>2026</v>
      </c>
      <c r="D170" s="1" t="s">
        <v>196</v>
      </c>
      <c r="E170" s="1" t="s">
        <v>507</v>
      </c>
      <c r="F170" s="1" t="s">
        <v>189</v>
      </c>
      <c r="G170" s="1" t="s">
        <v>190</v>
      </c>
      <c r="H170" s="1" t="s">
        <v>22</v>
      </c>
      <c r="I170" s="1" t="s">
        <v>31</v>
      </c>
      <c r="J170">
        <v>14</v>
      </c>
      <c r="K170">
        <v>258.05</v>
      </c>
      <c r="L170">
        <v>2375.75</v>
      </c>
      <c r="M170">
        <v>3612.7000000000003</v>
      </c>
      <c r="N170">
        <v>1236.9500000000003</v>
      </c>
      <c r="O170" s="1" t="s">
        <v>52</v>
      </c>
      <c r="P170" s="1" t="s">
        <v>67</v>
      </c>
      <c r="Q170">
        <v>12</v>
      </c>
    </row>
    <row r="171" spans="1:17" x14ac:dyDescent="0.25">
      <c r="A171" s="1" t="s">
        <v>508</v>
      </c>
      <c r="B171" s="2">
        <v>46289</v>
      </c>
      <c r="C171">
        <v>2026</v>
      </c>
      <c r="D171" s="1" t="s">
        <v>273</v>
      </c>
      <c r="E171" s="1" t="s">
        <v>509</v>
      </c>
      <c r="F171" s="1" t="s">
        <v>456</v>
      </c>
      <c r="G171" s="1" t="s">
        <v>457</v>
      </c>
      <c r="H171" s="1" t="s">
        <v>111</v>
      </c>
      <c r="I171" s="1" t="s">
        <v>60</v>
      </c>
      <c r="J171">
        <v>18</v>
      </c>
      <c r="K171">
        <v>432.04</v>
      </c>
      <c r="L171">
        <v>4250.0200000000004</v>
      </c>
      <c r="M171">
        <v>7776.72</v>
      </c>
      <c r="N171">
        <v>3526.7</v>
      </c>
      <c r="O171" s="1" t="s">
        <v>24</v>
      </c>
      <c r="P171" s="1" t="s">
        <v>61</v>
      </c>
      <c r="Q171">
        <v>9</v>
      </c>
    </row>
    <row r="172" spans="1:17" x14ac:dyDescent="0.25">
      <c r="A172" s="1" t="s">
        <v>510</v>
      </c>
      <c r="B172" s="2">
        <v>46227</v>
      </c>
      <c r="C172">
        <v>2026</v>
      </c>
      <c r="D172" s="1" t="s">
        <v>462</v>
      </c>
      <c r="E172" s="1" t="s">
        <v>127</v>
      </c>
      <c r="F172" s="1" t="s">
        <v>294</v>
      </c>
      <c r="G172" s="1" t="s">
        <v>295</v>
      </c>
      <c r="H172" s="1" t="s">
        <v>236</v>
      </c>
      <c r="I172" s="1" t="s">
        <v>46</v>
      </c>
      <c r="J172">
        <v>16</v>
      </c>
      <c r="K172">
        <v>139.33000000000001</v>
      </c>
      <c r="L172">
        <v>1500.36</v>
      </c>
      <c r="M172">
        <v>2229.2800000000002</v>
      </c>
      <c r="N172">
        <v>728.9200000000003</v>
      </c>
      <c r="O172" s="1" t="s">
        <v>24</v>
      </c>
      <c r="P172" s="1" t="s">
        <v>25</v>
      </c>
      <c r="Q172">
        <v>7</v>
      </c>
    </row>
    <row r="173" spans="1:17" x14ac:dyDescent="0.25">
      <c r="A173" s="1" t="s">
        <v>511</v>
      </c>
      <c r="B173" s="2">
        <v>46094</v>
      </c>
      <c r="C173">
        <v>2026</v>
      </c>
      <c r="D173" s="1" t="s">
        <v>126</v>
      </c>
      <c r="E173" s="1" t="s">
        <v>512</v>
      </c>
      <c r="F173" s="1" t="s">
        <v>206</v>
      </c>
      <c r="G173" s="1" t="s">
        <v>207</v>
      </c>
      <c r="H173" s="1" t="s">
        <v>39</v>
      </c>
      <c r="I173" s="1" t="s">
        <v>23</v>
      </c>
      <c r="J173">
        <v>1</v>
      </c>
      <c r="K173">
        <v>212.91</v>
      </c>
      <c r="L173">
        <v>158.49</v>
      </c>
      <c r="M173">
        <v>212.91</v>
      </c>
      <c r="N173">
        <v>54.419999999999987</v>
      </c>
      <c r="O173" s="1" t="s">
        <v>32</v>
      </c>
      <c r="P173" s="1" t="s">
        <v>88</v>
      </c>
      <c r="Q173">
        <v>3</v>
      </c>
    </row>
    <row r="174" spans="1:17" x14ac:dyDescent="0.25">
      <c r="A174" s="1" t="s">
        <v>513</v>
      </c>
      <c r="B174" s="2">
        <v>46331</v>
      </c>
      <c r="C174">
        <v>2026</v>
      </c>
      <c r="D174" s="1" t="s">
        <v>514</v>
      </c>
      <c r="E174" s="1" t="s">
        <v>274</v>
      </c>
      <c r="F174" s="1" t="s">
        <v>138</v>
      </c>
      <c r="G174" s="1" t="s">
        <v>139</v>
      </c>
      <c r="H174" s="1" t="s">
        <v>45</v>
      </c>
      <c r="I174" s="1" t="s">
        <v>23</v>
      </c>
      <c r="J174">
        <v>3</v>
      </c>
      <c r="K174">
        <v>233.66</v>
      </c>
      <c r="L174">
        <v>577.52</v>
      </c>
      <c r="M174">
        <v>700.98</v>
      </c>
      <c r="N174">
        <v>123.46000000000004</v>
      </c>
      <c r="O174" s="1" t="s">
        <v>52</v>
      </c>
      <c r="P174" s="1" t="s">
        <v>134</v>
      </c>
      <c r="Q174">
        <v>11</v>
      </c>
    </row>
    <row r="175" spans="1:17" x14ac:dyDescent="0.25">
      <c r="A175" s="1" t="s">
        <v>515</v>
      </c>
      <c r="B175" s="2">
        <v>46095</v>
      </c>
      <c r="C175">
        <v>2026</v>
      </c>
      <c r="D175" s="1" t="s">
        <v>147</v>
      </c>
      <c r="E175" s="1" t="s">
        <v>516</v>
      </c>
      <c r="F175" s="1" t="s">
        <v>105</v>
      </c>
      <c r="G175" s="1" t="s">
        <v>106</v>
      </c>
      <c r="H175" s="1" t="s">
        <v>78</v>
      </c>
      <c r="I175" s="1" t="s">
        <v>46</v>
      </c>
      <c r="J175">
        <v>20</v>
      </c>
      <c r="K175">
        <v>374.59</v>
      </c>
      <c r="L175">
        <v>4944.5600000000004</v>
      </c>
      <c r="M175">
        <v>7491.7999999999993</v>
      </c>
      <c r="N175">
        <v>2547.2399999999989</v>
      </c>
      <c r="O175" s="1" t="s">
        <v>32</v>
      </c>
      <c r="P175" s="1" t="s">
        <v>88</v>
      </c>
      <c r="Q175">
        <v>3</v>
      </c>
    </row>
    <row r="176" spans="1:17" x14ac:dyDescent="0.25">
      <c r="A176" s="1" t="s">
        <v>517</v>
      </c>
      <c r="B176" s="2">
        <v>46180</v>
      </c>
      <c r="C176">
        <v>2026</v>
      </c>
      <c r="D176" s="1" t="s">
        <v>27</v>
      </c>
      <c r="E176" s="1" t="s">
        <v>518</v>
      </c>
      <c r="F176" s="1" t="s">
        <v>197</v>
      </c>
      <c r="G176" s="1" t="s">
        <v>198</v>
      </c>
      <c r="H176" s="1" t="s">
        <v>59</v>
      </c>
      <c r="I176" s="1" t="s">
        <v>31</v>
      </c>
      <c r="J176">
        <v>1</v>
      </c>
      <c r="K176">
        <v>436.31</v>
      </c>
      <c r="L176">
        <v>284.48</v>
      </c>
      <c r="M176">
        <v>436.31</v>
      </c>
      <c r="N176">
        <v>151.82999999999998</v>
      </c>
      <c r="O176" s="1" t="s">
        <v>47</v>
      </c>
      <c r="P176" s="1" t="s">
        <v>171</v>
      </c>
      <c r="Q176">
        <v>6</v>
      </c>
    </row>
    <row r="177" spans="1:17" x14ac:dyDescent="0.25">
      <c r="A177" s="1" t="s">
        <v>519</v>
      </c>
      <c r="B177" s="2">
        <v>46043</v>
      </c>
      <c r="C177">
        <v>2026</v>
      </c>
      <c r="D177" s="1" t="s">
        <v>69</v>
      </c>
      <c r="E177" s="1" t="s">
        <v>520</v>
      </c>
      <c r="F177" s="1" t="s">
        <v>415</v>
      </c>
      <c r="G177" s="1" t="s">
        <v>416</v>
      </c>
      <c r="H177" s="1" t="s">
        <v>22</v>
      </c>
      <c r="I177" s="1" t="s">
        <v>46</v>
      </c>
      <c r="J177">
        <v>11</v>
      </c>
      <c r="K177">
        <v>290.02999999999997</v>
      </c>
      <c r="L177">
        <v>2607.48</v>
      </c>
      <c r="M177">
        <v>3190.33</v>
      </c>
      <c r="N177">
        <v>582.84999999999991</v>
      </c>
      <c r="O177" s="1" t="s">
        <v>32</v>
      </c>
      <c r="P177" s="1" t="s">
        <v>33</v>
      </c>
      <c r="Q177">
        <v>1</v>
      </c>
    </row>
    <row r="178" spans="1:17" x14ac:dyDescent="0.25">
      <c r="A178" s="1" t="s">
        <v>521</v>
      </c>
      <c r="B178" s="2">
        <v>46190</v>
      </c>
      <c r="C178">
        <v>2026</v>
      </c>
      <c r="D178" s="1" t="s">
        <v>136</v>
      </c>
      <c r="E178" s="1" t="s">
        <v>522</v>
      </c>
      <c r="F178" s="1" t="s">
        <v>144</v>
      </c>
      <c r="G178" s="1" t="s">
        <v>145</v>
      </c>
      <c r="H178" s="1" t="s">
        <v>39</v>
      </c>
      <c r="I178" s="1" t="s">
        <v>46</v>
      </c>
      <c r="J178">
        <v>20</v>
      </c>
      <c r="K178">
        <v>224.62</v>
      </c>
      <c r="L178">
        <v>3527.09</v>
      </c>
      <c r="M178">
        <v>4492.3999999999996</v>
      </c>
      <c r="N178">
        <v>965.30999999999949</v>
      </c>
      <c r="O178" s="1" t="s">
        <v>47</v>
      </c>
      <c r="P178" s="1" t="s">
        <v>171</v>
      </c>
      <c r="Q178">
        <v>6</v>
      </c>
    </row>
    <row r="179" spans="1:17" x14ac:dyDescent="0.25">
      <c r="A179" s="1" t="s">
        <v>523</v>
      </c>
      <c r="B179" s="2">
        <v>46221</v>
      </c>
      <c r="C179">
        <v>2026</v>
      </c>
      <c r="D179" s="1" t="s">
        <v>524</v>
      </c>
      <c r="E179" s="1" t="s">
        <v>525</v>
      </c>
      <c r="F179" s="1" t="s">
        <v>164</v>
      </c>
      <c r="G179" s="1" t="s">
        <v>165</v>
      </c>
      <c r="H179" s="1" t="s">
        <v>22</v>
      </c>
      <c r="I179" s="1" t="s">
        <v>31</v>
      </c>
      <c r="J179">
        <v>14</v>
      </c>
      <c r="K179">
        <v>483.95</v>
      </c>
      <c r="L179">
        <v>4346.37</v>
      </c>
      <c r="M179">
        <v>6775.3</v>
      </c>
      <c r="N179">
        <v>2428.9300000000003</v>
      </c>
      <c r="O179" s="1" t="s">
        <v>24</v>
      </c>
      <c r="P179" s="1" t="s">
        <v>25</v>
      </c>
      <c r="Q179">
        <v>7</v>
      </c>
    </row>
    <row r="180" spans="1:17" x14ac:dyDescent="0.25">
      <c r="A180" s="1" t="s">
        <v>526</v>
      </c>
      <c r="B180" s="2">
        <v>46136</v>
      </c>
      <c r="C180">
        <v>2026</v>
      </c>
      <c r="D180" s="1" t="s">
        <v>50</v>
      </c>
      <c r="E180" s="1" t="s">
        <v>130</v>
      </c>
      <c r="F180" s="1" t="s">
        <v>29</v>
      </c>
      <c r="G180" s="1" t="s">
        <v>30</v>
      </c>
      <c r="H180" s="1" t="s">
        <v>22</v>
      </c>
      <c r="I180" s="1" t="s">
        <v>31</v>
      </c>
      <c r="J180">
        <v>8</v>
      </c>
      <c r="K180">
        <v>137.65</v>
      </c>
      <c r="L180">
        <v>794.58</v>
      </c>
      <c r="M180">
        <v>1101.2</v>
      </c>
      <c r="N180">
        <v>306.62</v>
      </c>
      <c r="O180" s="1" t="s">
        <v>47</v>
      </c>
      <c r="P180" s="1" t="s">
        <v>48</v>
      </c>
      <c r="Q180">
        <v>4</v>
      </c>
    </row>
    <row r="181" spans="1:17" x14ac:dyDescent="0.25">
      <c r="A181" s="1" t="s">
        <v>527</v>
      </c>
      <c r="B181" s="2">
        <v>46138</v>
      </c>
      <c r="C181">
        <v>2026</v>
      </c>
      <c r="D181" s="1" t="s">
        <v>524</v>
      </c>
      <c r="E181" s="1" t="s">
        <v>528</v>
      </c>
      <c r="F181" s="1" t="s">
        <v>399</v>
      </c>
      <c r="G181" s="1" t="s">
        <v>400</v>
      </c>
      <c r="H181" s="1" t="s">
        <v>236</v>
      </c>
      <c r="I181" s="1" t="s">
        <v>60</v>
      </c>
      <c r="J181">
        <v>3</v>
      </c>
      <c r="K181">
        <v>402.81</v>
      </c>
      <c r="L181">
        <v>792.95</v>
      </c>
      <c r="M181">
        <v>1208.43</v>
      </c>
      <c r="N181">
        <v>415.48</v>
      </c>
      <c r="O181" s="1" t="s">
        <v>47</v>
      </c>
      <c r="P181" s="1" t="s">
        <v>48</v>
      </c>
      <c r="Q181">
        <v>4</v>
      </c>
    </row>
    <row r="182" spans="1:17" x14ac:dyDescent="0.25">
      <c r="A182" s="1" t="s">
        <v>529</v>
      </c>
      <c r="B182" s="2">
        <v>46222</v>
      </c>
      <c r="C182">
        <v>2026</v>
      </c>
      <c r="D182" s="1" t="s">
        <v>103</v>
      </c>
      <c r="E182" s="1" t="s">
        <v>530</v>
      </c>
      <c r="F182" s="1" t="s">
        <v>120</v>
      </c>
      <c r="G182" s="1" t="s">
        <v>121</v>
      </c>
      <c r="H182" s="1" t="s">
        <v>39</v>
      </c>
      <c r="I182" s="1" t="s">
        <v>60</v>
      </c>
      <c r="J182">
        <v>4</v>
      </c>
      <c r="K182">
        <v>77.87</v>
      </c>
      <c r="L182">
        <v>259.26</v>
      </c>
      <c r="M182">
        <v>311.48</v>
      </c>
      <c r="N182">
        <v>52.220000000000027</v>
      </c>
      <c r="O182" s="1" t="s">
        <v>24</v>
      </c>
      <c r="P182" s="1" t="s">
        <v>25</v>
      </c>
      <c r="Q182">
        <v>7</v>
      </c>
    </row>
    <row r="183" spans="1:17" x14ac:dyDescent="0.25">
      <c r="A183" s="1" t="s">
        <v>531</v>
      </c>
      <c r="B183" s="2">
        <v>46056</v>
      </c>
      <c r="C183">
        <v>2026</v>
      </c>
      <c r="D183" s="1" t="s">
        <v>332</v>
      </c>
      <c r="E183" s="1" t="s">
        <v>398</v>
      </c>
      <c r="F183" s="1" t="s">
        <v>65</v>
      </c>
      <c r="G183" s="1" t="s">
        <v>66</v>
      </c>
      <c r="H183" s="1" t="s">
        <v>59</v>
      </c>
      <c r="I183" s="1" t="s">
        <v>31</v>
      </c>
      <c r="J183">
        <v>5</v>
      </c>
      <c r="K183">
        <v>264.85000000000002</v>
      </c>
      <c r="L183">
        <v>924.16</v>
      </c>
      <c r="M183">
        <v>1324.25</v>
      </c>
      <c r="N183">
        <v>400.09000000000003</v>
      </c>
      <c r="O183" s="1" t="s">
        <v>32</v>
      </c>
      <c r="P183" s="1" t="s">
        <v>84</v>
      </c>
      <c r="Q183">
        <v>2</v>
      </c>
    </row>
    <row r="184" spans="1:17" x14ac:dyDescent="0.25">
      <c r="A184" s="1" t="s">
        <v>532</v>
      </c>
      <c r="B184" s="2">
        <v>46089</v>
      </c>
      <c r="C184">
        <v>2026</v>
      </c>
      <c r="D184" s="1" t="s">
        <v>162</v>
      </c>
      <c r="E184" s="1" t="s">
        <v>64</v>
      </c>
      <c r="F184" s="1" t="s">
        <v>533</v>
      </c>
      <c r="G184" s="1" t="s">
        <v>534</v>
      </c>
      <c r="H184" s="1" t="s">
        <v>236</v>
      </c>
      <c r="I184" s="1" t="s">
        <v>60</v>
      </c>
      <c r="J184">
        <v>17</v>
      </c>
      <c r="K184">
        <v>376.22</v>
      </c>
      <c r="L184">
        <v>3729.92</v>
      </c>
      <c r="M184">
        <v>6395.7400000000007</v>
      </c>
      <c r="N184">
        <v>2665.8200000000006</v>
      </c>
      <c r="O184" s="1" t="s">
        <v>32</v>
      </c>
      <c r="P184" s="1" t="s">
        <v>88</v>
      </c>
      <c r="Q184">
        <v>3</v>
      </c>
    </row>
    <row r="185" spans="1:17" x14ac:dyDescent="0.25">
      <c r="A185" s="1" t="s">
        <v>535</v>
      </c>
      <c r="B185" s="2">
        <v>46318</v>
      </c>
      <c r="C185">
        <v>2026</v>
      </c>
      <c r="D185" s="1" t="s">
        <v>173</v>
      </c>
      <c r="E185" s="1" t="s">
        <v>382</v>
      </c>
      <c r="F185" s="1" t="s">
        <v>231</v>
      </c>
      <c r="G185" s="1" t="s">
        <v>232</v>
      </c>
      <c r="H185" s="1" t="s">
        <v>59</v>
      </c>
      <c r="I185" s="1" t="s">
        <v>23</v>
      </c>
      <c r="J185">
        <v>20</v>
      </c>
      <c r="K185">
        <v>277.73</v>
      </c>
      <c r="L185">
        <v>3222.86</v>
      </c>
      <c r="M185">
        <v>5554.6</v>
      </c>
      <c r="N185">
        <v>2331.7400000000002</v>
      </c>
      <c r="O185" s="1" t="s">
        <v>52</v>
      </c>
      <c r="P185" s="1" t="s">
        <v>53</v>
      </c>
      <c r="Q185">
        <v>10</v>
      </c>
    </row>
    <row r="186" spans="1:17" x14ac:dyDescent="0.25">
      <c r="A186" s="1" t="s">
        <v>536</v>
      </c>
      <c r="B186" s="2">
        <v>46104</v>
      </c>
      <c r="C186">
        <v>2026</v>
      </c>
      <c r="D186" s="1" t="s">
        <v>378</v>
      </c>
      <c r="E186" s="1" t="s">
        <v>537</v>
      </c>
      <c r="F186" s="1" t="s">
        <v>175</v>
      </c>
      <c r="G186" s="1" t="s">
        <v>176</v>
      </c>
      <c r="H186" s="1" t="s">
        <v>59</v>
      </c>
      <c r="I186" s="1" t="s">
        <v>31</v>
      </c>
      <c r="J186">
        <v>18</v>
      </c>
      <c r="K186">
        <v>178.93</v>
      </c>
      <c r="L186">
        <v>1934.89</v>
      </c>
      <c r="M186">
        <v>3220.7400000000002</v>
      </c>
      <c r="N186">
        <v>1285.8500000000001</v>
      </c>
      <c r="O186" s="1" t="s">
        <v>32</v>
      </c>
      <c r="P186" s="1" t="s">
        <v>88</v>
      </c>
      <c r="Q186">
        <v>3</v>
      </c>
    </row>
    <row r="187" spans="1:17" x14ac:dyDescent="0.25">
      <c r="A187" s="1" t="s">
        <v>538</v>
      </c>
      <c r="B187" s="2">
        <v>46208</v>
      </c>
      <c r="C187">
        <v>2026</v>
      </c>
      <c r="D187" s="1" t="s">
        <v>284</v>
      </c>
      <c r="E187" s="1" t="s">
        <v>522</v>
      </c>
      <c r="F187" s="1" t="s">
        <v>154</v>
      </c>
      <c r="G187" s="1" t="s">
        <v>155</v>
      </c>
      <c r="H187" s="1" t="s">
        <v>22</v>
      </c>
      <c r="I187" s="1" t="s">
        <v>23</v>
      </c>
      <c r="J187">
        <v>4</v>
      </c>
      <c r="K187">
        <v>44.76</v>
      </c>
      <c r="L187">
        <v>98.19</v>
      </c>
      <c r="M187">
        <v>179.04</v>
      </c>
      <c r="N187">
        <v>80.849999999999994</v>
      </c>
      <c r="O187" s="1" t="s">
        <v>24</v>
      </c>
      <c r="P187" s="1" t="s">
        <v>25</v>
      </c>
      <c r="Q187">
        <v>7</v>
      </c>
    </row>
    <row r="188" spans="1:17" x14ac:dyDescent="0.25">
      <c r="A188" s="1" t="s">
        <v>539</v>
      </c>
      <c r="B188" s="2">
        <v>46357</v>
      </c>
      <c r="C188">
        <v>2026</v>
      </c>
      <c r="D188" s="1" t="s">
        <v>287</v>
      </c>
      <c r="E188" s="1" t="s">
        <v>127</v>
      </c>
      <c r="F188" s="1" t="s">
        <v>185</v>
      </c>
      <c r="G188" s="1" t="s">
        <v>186</v>
      </c>
      <c r="H188" s="1" t="s">
        <v>22</v>
      </c>
      <c r="I188" s="1" t="s">
        <v>31</v>
      </c>
      <c r="J188">
        <v>10</v>
      </c>
      <c r="K188">
        <v>495.46</v>
      </c>
      <c r="L188">
        <v>2775.05</v>
      </c>
      <c r="M188">
        <v>4954.5999999999995</v>
      </c>
      <c r="N188">
        <v>2179.5499999999993</v>
      </c>
      <c r="O188" s="1" t="s">
        <v>52</v>
      </c>
      <c r="P188" s="1" t="s">
        <v>67</v>
      </c>
      <c r="Q188">
        <v>12</v>
      </c>
    </row>
    <row r="189" spans="1:17" x14ac:dyDescent="0.25">
      <c r="A189" s="1" t="s">
        <v>540</v>
      </c>
      <c r="B189" s="2">
        <v>46371</v>
      </c>
      <c r="C189">
        <v>2026</v>
      </c>
      <c r="D189" s="1" t="s">
        <v>381</v>
      </c>
      <c r="E189" s="1" t="s">
        <v>541</v>
      </c>
      <c r="F189" s="1" t="s">
        <v>249</v>
      </c>
      <c r="G189" s="1" t="s">
        <v>250</v>
      </c>
      <c r="H189" s="1" t="s">
        <v>59</v>
      </c>
      <c r="I189" s="1" t="s">
        <v>31</v>
      </c>
      <c r="J189">
        <v>3</v>
      </c>
      <c r="K189">
        <v>239.58</v>
      </c>
      <c r="L189">
        <v>584.9</v>
      </c>
      <c r="M189">
        <v>718.74</v>
      </c>
      <c r="N189">
        <v>133.84000000000003</v>
      </c>
      <c r="O189" s="1" t="s">
        <v>52</v>
      </c>
      <c r="P189" s="1" t="s">
        <v>67</v>
      </c>
      <c r="Q189">
        <v>12</v>
      </c>
    </row>
    <row r="190" spans="1:17" x14ac:dyDescent="0.25">
      <c r="A190" s="1" t="s">
        <v>542</v>
      </c>
      <c r="B190" s="2">
        <v>46098</v>
      </c>
      <c r="C190">
        <v>2026</v>
      </c>
      <c r="D190" s="1" t="s">
        <v>543</v>
      </c>
      <c r="E190" s="1" t="s">
        <v>544</v>
      </c>
      <c r="F190" s="1" t="s">
        <v>500</v>
      </c>
      <c r="G190" s="1" t="s">
        <v>501</v>
      </c>
      <c r="H190" s="1" t="s">
        <v>111</v>
      </c>
      <c r="I190" s="1" t="s">
        <v>23</v>
      </c>
      <c r="J190">
        <v>9</v>
      </c>
      <c r="K190">
        <v>396.31</v>
      </c>
      <c r="L190">
        <v>2657.78</v>
      </c>
      <c r="M190">
        <v>3566.79</v>
      </c>
      <c r="N190">
        <v>909.00999999999976</v>
      </c>
      <c r="O190" s="1" t="s">
        <v>32</v>
      </c>
      <c r="P190" s="1" t="s">
        <v>88</v>
      </c>
      <c r="Q190">
        <v>3</v>
      </c>
    </row>
    <row r="191" spans="1:17" x14ac:dyDescent="0.25">
      <c r="A191" s="1" t="s">
        <v>545</v>
      </c>
      <c r="B191" s="2">
        <v>46380</v>
      </c>
      <c r="C191">
        <v>2026</v>
      </c>
      <c r="D191" s="1" t="s">
        <v>546</v>
      </c>
      <c r="E191" s="1" t="s">
        <v>51</v>
      </c>
      <c r="F191" s="1" t="s">
        <v>115</v>
      </c>
      <c r="G191" s="1" t="s">
        <v>116</v>
      </c>
      <c r="H191" s="1" t="s">
        <v>22</v>
      </c>
      <c r="I191" s="1" t="s">
        <v>46</v>
      </c>
      <c r="J191">
        <v>12</v>
      </c>
      <c r="K191">
        <v>282.08999999999997</v>
      </c>
      <c r="L191">
        <v>2201.5700000000002</v>
      </c>
      <c r="M191">
        <v>3385.08</v>
      </c>
      <c r="N191">
        <v>1183.5099999999998</v>
      </c>
      <c r="O191" s="1" t="s">
        <v>52</v>
      </c>
      <c r="P191" s="1" t="s">
        <v>67</v>
      </c>
      <c r="Q191">
        <v>12</v>
      </c>
    </row>
    <row r="192" spans="1:17" x14ac:dyDescent="0.25">
      <c r="A192" s="1" t="s">
        <v>547</v>
      </c>
      <c r="B192" s="2">
        <v>46115</v>
      </c>
      <c r="C192">
        <v>2026</v>
      </c>
      <c r="D192" s="1" t="s">
        <v>152</v>
      </c>
      <c r="E192" s="1" t="s">
        <v>522</v>
      </c>
      <c r="F192" s="1" t="s">
        <v>245</v>
      </c>
      <c r="G192" s="1" t="s">
        <v>246</v>
      </c>
      <c r="H192" s="1" t="s">
        <v>39</v>
      </c>
      <c r="I192" s="1" t="s">
        <v>46</v>
      </c>
      <c r="J192">
        <v>6</v>
      </c>
      <c r="K192">
        <v>192.45</v>
      </c>
      <c r="L192">
        <v>888.68</v>
      </c>
      <c r="M192">
        <v>1154.6999999999998</v>
      </c>
      <c r="N192">
        <v>266.01999999999987</v>
      </c>
      <c r="O192" s="1" t="s">
        <v>47</v>
      </c>
      <c r="P192" s="1" t="s">
        <v>48</v>
      </c>
      <c r="Q192">
        <v>4</v>
      </c>
    </row>
    <row r="193" spans="1:17" x14ac:dyDescent="0.25">
      <c r="A193" s="1" t="s">
        <v>548</v>
      </c>
      <c r="B193" s="2">
        <v>46256</v>
      </c>
      <c r="C193">
        <v>2026</v>
      </c>
      <c r="D193" s="1" t="s">
        <v>362</v>
      </c>
      <c r="E193" s="1" t="s">
        <v>549</v>
      </c>
      <c r="F193" s="1" t="s">
        <v>231</v>
      </c>
      <c r="G193" s="1" t="s">
        <v>232</v>
      </c>
      <c r="H193" s="1" t="s">
        <v>59</v>
      </c>
      <c r="I193" s="1" t="s">
        <v>60</v>
      </c>
      <c r="J193">
        <v>15</v>
      </c>
      <c r="K193">
        <v>110.7</v>
      </c>
      <c r="L193">
        <v>1149.77</v>
      </c>
      <c r="M193">
        <v>1660.5</v>
      </c>
      <c r="N193">
        <v>510.73</v>
      </c>
      <c r="O193" s="1" t="s">
        <v>24</v>
      </c>
      <c r="P193" s="1" t="s">
        <v>101</v>
      </c>
      <c r="Q193">
        <v>8</v>
      </c>
    </row>
    <row r="194" spans="1:17" x14ac:dyDescent="0.25">
      <c r="A194" s="1" t="s">
        <v>550</v>
      </c>
      <c r="B194" s="2">
        <v>46362</v>
      </c>
      <c r="C194">
        <v>2026</v>
      </c>
      <c r="D194" s="1" t="s">
        <v>27</v>
      </c>
      <c r="E194" s="1" t="s">
        <v>184</v>
      </c>
      <c r="F194" s="1" t="s">
        <v>175</v>
      </c>
      <c r="G194" s="1" t="s">
        <v>176</v>
      </c>
      <c r="H194" s="1" t="s">
        <v>59</v>
      </c>
      <c r="I194" s="1" t="s">
        <v>46</v>
      </c>
      <c r="J194">
        <v>11</v>
      </c>
      <c r="K194">
        <v>486.56</v>
      </c>
      <c r="L194">
        <v>3415.88</v>
      </c>
      <c r="M194">
        <v>5352.16</v>
      </c>
      <c r="N194">
        <v>1936.2799999999997</v>
      </c>
      <c r="O194" s="1" t="s">
        <v>52</v>
      </c>
      <c r="P194" s="1" t="s">
        <v>67</v>
      </c>
      <c r="Q194">
        <v>12</v>
      </c>
    </row>
    <row r="195" spans="1:17" x14ac:dyDescent="0.25">
      <c r="A195" s="1" t="s">
        <v>551</v>
      </c>
      <c r="B195" s="2">
        <v>46291</v>
      </c>
      <c r="C195">
        <v>2026</v>
      </c>
      <c r="D195" s="1" t="s">
        <v>94</v>
      </c>
      <c r="E195" s="1" t="s">
        <v>552</v>
      </c>
      <c r="F195" s="1" t="s">
        <v>37</v>
      </c>
      <c r="G195" s="1" t="s">
        <v>38</v>
      </c>
      <c r="H195" s="1" t="s">
        <v>39</v>
      </c>
      <c r="I195" s="1" t="s">
        <v>23</v>
      </c>
      <c r="J195">
        <v>10</v>
      </c>
      <c r="K195">
        <v>258.76</v>
      </c>
      <c r="L195">
        <v>2005</v>
      </c>
      <c r="M195">
        <v>2587.6</v>
      </c>
      <c r="N195">
        <v>582.59999999999991</v>
      </c>
      <c r="O195" s="1" t="s">
        <v>24</v>
      </c>
      <c r="P195" s="1" t="s">
        <v>61</v>
      </c>
      <c r="Q195">
        <v>9</v>
      </c>
    </row>
    <row r="196" spans="1:17" x14ac:dyDescent="0.25">
      <c r="A196" s="1" t="s">
        <v>553</v>
      </c>
      <c r="B196" s="2">
        <v>46298</v>
      </c>
      <c r="C196">
        <v>2026</v>
      </c>
      <c r="D196" s="1" t="s">
        <v>300</v>
      </c>
      <c r="E196" s="1" t="s">
        <v>133</v>
      </c>
      <c r="F196" s="1" t="s">
        <v>265</v>
      </c>
      <c r="G196" s="1" t="s">
        <v>266</v>
      </c>
      <c r="H196" s="1" t="s">
        <v>59</v>
      </c>
      <c r="I196" s="1" t="s">
        <v>31</v>
      </c>
      <c r="J196">
        <v>12</v>
      </c>
      <c r="K196">
        <v>342.59</v>
      </c>
      <c r="L196">
        <v>2979.09</v>
      </c>
      <c r="M196">
        <v>4111.08</v>
      </c>
      <c r="N196">
        <v>1131.9899999999998</v>
      </c>
      <c r="O196" s="1" t="s">
        <v>52</v>
      </c>
      <c r="P196" s="1" t="s">
        <v>53</v>
      </c>
      <c r="Q196">
        <v>10</v>
      </c>
    </row>
    <row r="197" spans="1:17" x14ac:dyDescent="0.25">
      <c r="A197" s="1" t="s">
        <v>554</v>
      </c>
      <c r="B197" s="2">
        <v>46163</v>
      </c>
      <c r="C197">
        <v>2026</v>
      </c>
      <c r="D197" s="1" t="s">
        <v>129</v>
      </c>
      <c r="E197" s="1" t="s">
        <v>555</v>
      </c>
      <c r="F197" s="1" t="s">
        <v>82</v>
      </c>
      <c r="G197" s="1" t="s">
        <v>83</v>
      </c>
      <c r="H197" s="1" t="s">
        <v>45</v>
      </c>
      <c r="I197" s="1" t="s">
        <v>31</v>
      </c>
      <c r="J197">
        <v>20</v>
      </c>
      <c r="K197">
        <v>213.11</v>
      </c>
      <c r="L197">
        <v>3083.51</v>
      </c>
      <c r="M197">
        <v>4262.2000000000007</v>
      </c>
      <c r="N197">
        <v>1178.6900000000005</v>
      </c>
      <c r="O197" s="1" t="s">
        <v>47</v>
      </c>
      <c r="P197" s="1" t="s">
        <v>92</v>
      </c>
      <c r="Q197">
        <v>5</v>
      </c>
    </row>
    <row r="198" spans="1:17" x14ac:dyDescent="0.25">
      <c r="A198" s="1" t="s">
        <v>556</v>
      </c>
      <c r="B198" s="2">
        <v>46124</v>
      </c>
      <c r="C198">
        <v>2026</v>
      </c>
      <c r="D198" s="1" t="s">
        <v>557</v>
      </c>
      <c r="E198" s="1" t="s">
        <v>558</v>
      </c>
      <c r="F198" s="1" t="s">
        <v>533</v>
      </c>
      <c r="G198" s="1" t="s">
        <v>534</v>
      </c>
      <c r="H198" s="1" t="s">
        <v>236</v>
      </c>
      <c r="I198" s="1" t="s">
        <v>23</v>
      </c>
      <c r="J198">
        <v>4</v>
      </c>
      <c r="K198">
        <v>143.11000000000001</v>
      </c>
      <c r="L198">
        <v>465.64</v>
      </c>
      <c r="M198">
        <v>572.44000000000005</v>
      </c>
      <c r="N198">
        <v>106.80000000000007</v>
      </c>
      <c r="O198" s="1" t="s">
        <v>47</v>
      </c>
      <c r="P198" s="1" t="s">
        <v>48</v>
      </c>
      <c r="Q198">
        <v>4</v>
      </c>
    </row>
    <row r="199" spans="1:17" x14ac:dyDescent="0.25">
      <c r="A199" s="1" t="s">
        <v>559</v>
      </c>
      <c r="B199" s="2">
        <v>46121</v>
      </c>
      <c r="C199">
        <v>2026</v>
      </c>
      <c r="D199" s="1" t="s">
        <v>420</v>
      </c>
      <c r="E199" s="1" t="s">
        <v>560</v>
      </c>
      <c r="F199" s="1" t="s">
        <v>169</v>
      </c>
      <c r="G199" s="1" t="s">
        <v>170</v>
      </c>
      <c r="H199" s="1" t="s">
        <v>78</v>
      </c>
      <c r="I199" s="1" t="s">
        <v>31</v>
      </c>
      <c r="J199">
        <v>15</v>
      </c>
      <c r="K199">
        <v>76.92</v>
      </c>
      <c r="L199">
        <v>721.61</v>
      </c>
      <c r="M199">
        <v>1153.8</v>
      </c>
      <c r="N199">
        <v>432.18999999999994</v>
      </c>
      <c r="O199" s="1" t="s">
        <v>47</v>
      </c>
      <c r="P199" s="1" t="s">
        <v>48</v>
      </c>
      <c r="Q199">
        <v>4</v>
      </c>
    </row>
    <row r="200" spans="1:17" x14ac:dyDescent="0.25">
      <c r="A200" s="1" t="s">
        <v>561</v>
      </c>
      <c r="B200" s="2">
        <v>46254</v>
      </c>
      <c r="C200">
        <v>2026</v>
      </c>
      <c r="D200" s="1" t="s">
        <v>395</v>
      </c>
      <c r="E200" s="1" t="s">
        <v>562</v>
      </c>
      <c r="F200" s="1" t="s">
        <v>333</v>
      </c>
      <c r="G200" s="1" t="s">
        <v>334</v>
      </c>
      <c r="H200" s="1" t="s">
        <v>22</v>
      </c>
      <c r="I200" s="1" t="s">
        <v>46</v>
      </c>
      <c r="J200">
        <v>1</v>
      </c>
      <c r="K200">
        <v>161.99</v>
      </c>
      <c r="L200">
        <v>113.57</v>
      </c>
      <c r="M200">
        <v>161.99</v>
      </c>
      <c r="N200">
        <v>48.420000000000016</v>
      </c>
      <c r="O200" s="1" t="s">
        <v>24</v>
      </c>
      <c r="P200" s="1" t="s">
        <v>101</v>
      </c>
      <c r="Q200">
        <v>8</v>
      </c>
    </row>
    <row r="201" spans="1:17" x14ac:dyDescent="0.25">
      <c r="A201" s="1" t="s">
        <v>563</v>
      </c>
      <c r="B201" s="2">
        <v>46061</v>
      </c>
      <c r="C201">
        <v>2026</v>
      </c>
      <c r="D201" s="1" t="s">
        <v>433</v>
      </c>
      <c r="E201" s="1" t="s">
        <v>418</v>
      </c>
      <c r="F201" s="1" t="s">
        <v>500</v>
      </c>
      <c r="G201" s="1" t="s">
        <v>501</v>
      </c>
      <c r="H201" s="1" t="s">
        <v>111</v>
      </c>
      <c r="I201" s="1" t="s">
        <v>23</v>
      </c>
      <c r="J201">
        <v>2</v>
      </c>
      <c r="K201">
        <v>403.73</v>
      </c>
      <c r="L201">
        <v>671.14</v>
      </c>
      <c r="M201">
        <v>807.46</v>
      </c>
      <c r="N201">
        <v>136.32000000000005</v>
      </c>
      <c r="O201" s="1" t="s">
        <v>32</v>
      </c>
      <c r="P201" s="1" t="s">
        <v>84</v>
      </c>
      <c r="Q201">
        <v>2</v>
      </c>
    </row>
    <row r="202" spans="1:17" x14ac:dyDescent="0.25">
      <c r="A202" s="1" t="s">
        <v>564</v>
      </c>
      <c r="B202" s="2">
        <v>46117</v>
      </c>
      <c r="C202">
        <v>2026</v>
      </c>
      <c r="D202" s="1" t="s">
        <v>393</v>
      </c>
      <c r="E202" s="1" t="s">
        <v>268</v>
      </c>
      <c r="F202" s="1" t="s">
        <v>37</v>
      </c>
      <c r="G202" s="1" t="s">
        <v>38</v>
      </c>
      <c r="H202" s="1" t="s">
        <v>39</v>
      </c>
      <c r="I202" s="1" t="s">
        <v>46</v>
      </c>
      <c r="J202">
        <v>8</v>
      </c>
      <c r="K202">
        <v>282.26</v>
      </c>
      <c r="L202">
        <v>1532.64</v>
      </c>
      <c r="M202">
        <v>2258.08</v>
      </c>
      <c r="N202">
        <v>725.43999999999983</v>
      </c>
      <c r="O202" s="1" t="s">
        <v>47</v>
      </c>
      <c r="P202" s="1" t="s">
        <v>48</v>
      </c>
      <c r="Q202">
        <v>4</v>
      </c>
    </row>
    <row r="203" spans="1:17" x14ac:dyDescent="0.25">
      <c r="A203" s="1" t="s">
        <v>565</v>
      </c>
      <c r="B203" s="2">
        <v>46040</v>
      </c>
      <c r="C203">
        <v>2026</v>
      </c>
      <c r="D203" s="1" t="s">
        <v>284</v>
      </c>
      <c r="E203" s="1" t="s">
        <v>566</v>
      </c>
      <c r="F203" s="1" t="s">
        <v>202</v>
      </c>
      <c r="G203" s="1" t="s">
        <v>203</v>
      </c>
      <c r="H203" s="1" t="s">
        <v>111</v>
      </c>
      <c r="I203" s="1" t="s">
        <v>60</v>
      </c>
      <c r="J203">
        <v>15</v>
      </c>
      <c r="K203">
        <v>230.1</v>
      </c>
      <c r="L203">
        <v>2615.1</v>
      </c>
      <c r="M203">
        <v>3451.5</v>
      </c>
      <c r="N203">
        <v>836.40000000000009</v>
      </c>
      <c r="O203" s="1" t="s">
        <v>32</v>
      </c>
      <c r="P203" s="1" t="s">
        <v>33</v>
      </c>
      <c r="Q203">
        <v>1</v>
      </c>
    </row>
    <row r="204" spans="1:17" x14ac:dyDescent="0.25">
      <c r="A204" s="1" t="s">
        <v>567</v>
      </c>
      <c r="B204" s="2">
        <v>46332</v>
      </c>
      <c r="C204">
        <v>2026</v>
      </c>
      <c r="D204" s="1" t="s">
        <v>568</v>
      </c>
      <c r="E204" s="1" t="s">
        <v>558</v>
      </c>
      <c r="F204" s="1" t="s">
        <v>154</v>
      </c>
      <c r="G204" s="1" t="s">
        <v>155</v>
      </c>
      <c r="H204" s="1" t="s">
        <v>22</v>
      </c>
      <c r="I204" s="1" t="s">
        <v>60</v>
      </c>
      <c r="J204">
        <v>2</v>
      </c>
      <c r="K204">
        <v>88.36</v>
      </c>
      <c r="L204">
        <v>122.85</v>
      </c>
      <c r="M204">
        <v>176.72</v>
      </c>
      <c r="N204">
        <v>53.870000000000005</v>
      </c>
      <c r="O204" s="1" t="s">
        <v>52</v>
      </c>
      <c r="P204" s="1" t="s">
        <v>134</v>
      </c>
      <c r="Q204">
        <v>11</v>
      </c>
    </row>
    <row r="205" spans="1:17" x14ac:dyDescent="0.25">
      <c r="A205" s="1" t="s">
        <v>569</v>
      </c>
      <c r="B205" s="2">
        <v>46383</v>
      </c>
      <c r="C205">
        <v>2026</v>
      </c>
      <c r="D205" s="1" t="s">
        <v>222</v>
      </c>
      <c r="E205" s="1" t="s">
        <v>570</v>
      </c>
      <c r="F205" s="1" t="s">
        <v>399</v>
      </c>
      <c r="G205" s="1" t="s">
        <v>400</v>
      </c>
      <c r="H205" s="1" t="s">
        <v>236</v>
      </c>
      <c r="I205" s="1" t="s">
        <v>46</v>
      </c>
      <c r="J205">
        <v>7</v>
      </c>
      <c r="K205">
        <v>478.81</v>
      </c>
      <c r="L205">
        <v>2028.75</v>
      </c>
      <c r="M205">
        <v>3351.67</v>
      </c>
      <c r="N205">
        <v>1322.92</v>
      </c>
      <c r="O205" s="1" t="s">
        <v>52</v>
      </c>
      <c r="P205" s="1" t="s">
        <v>67</v>
      </c>
      <c r="Q205">
        <v>12</v>
      </c>
    </row>
    <row r="206" spans="1:17" x14ac:dyDescent="0.25">
      <c r="A206" s="1" t="s">
        <v>571</v>
      </c>
      <c r="B206" s="2">
        <v>46329</v>
      </c>
      <c r="C206">
        <v>2026</v>
      </c>
      <c r="D206" s="1" t="s">
        <v>304</v>
      </c>
      <c r="E206" s="1" t="s">
        <v>56</v>
      </c>
      <c r="F206" s="1" t="s">
        <v>415</v>
      </c>
      <c r="G206" s="1" t="s">
        <v>416</v>
      </c>
      <c r="H206" s="1" t="s">
        <v>22</v>
      </c>
      <c r="I206" s="1" t="s">
        <v>23</v>
      </c>
      <c r="J206">
        <v>7</v>
      </c>
      <c r="K206">
        <v>339.79</v>
      </c>
      <c r="L206">
        <v>1733.63</v>
      </c>
      <c r="M206">
        <v>2378.5300000000002</v>
      </c>
      <c r="N206">
        <v>644.90000000000009</v>
      </c>
      <c r="O206" s="1" t="s">
        <v>52</v>
      </c>
      <c r="P206" s="1" t="s">
        <v>134</v>
      </c>
      <c r="Q206">
        <v>11</v>
      </c>
    </row>
    <row r="207" spans="1:17" x14ac:dyDescent="0.25">
      <c r="A207" s="1" t="s">
        <v>572</v>
      </c>
      <c r="B207" s="2">
        <v>46120</v>
      </c>
      <c r="C207">
        <v>2026</v>
      </c>
      <c r="D207" s="1" t="s">
        <v>284</v>
      </c>
      <c r="E207" s="1" t="s">
        <v>573</v>
      </c>
      <c r="F207" s="1" t="s">
        <v>169</v>
      </c>
      <c r="G207" s="1" t="s">
        <v>170</v>
      </c>
      <c r="H207" s="1" t="s">
        <v>78</v>
      </c>
      <c r="I207" s="1" t="s">
        <v>31</v>
      </c>
      <c r="J207">
        <v>11</v>
      </c>
      <c r="K207">
        <v>277.77999999999997</v>
      </c>
      <c r="L207">
        <v>2444.86</v>
      </c>
      <c r="M207">
        <v>3055.58</v>
      </c>
      <c r="N207">
        <v>610.7199999999998</v>
      </c>
      <c r="O207" s="1" t="s">
        <v>47</v>
      </c>
      <c r="P207" s="1" t="s">
        <v>48</v>
      </c>
      <c r="Q207">
        <v>4</v>
      </c>
    </row>
    <row r="208" spans="1:17" x14ac:dyDescent="0.25">
      <c r="A208" s="1" t="s">
        <v>574</v>
      </c>
      <c r="B208" s="2">
        <v>46129</v>
      </c>
      <c r="C208">
        <v>2026</v>
      </c>
      <c r="D208" s="1" t="s">
        <v>575</v>
      </c>
      <c r="E208" s="1" t="s">
        <v>576</v>
      </c>
      <c r="F208" s="1" t="s">
        <v>189</v>
      </c>
      <c r="G208" s="1" t="s">
        <v>190</v>
      </c>
      <c r="H208" s="1" t="s">
        <v>22</v>
      </c>
      <c r="I208" s="1" t="s">
        <v>31</v>
      </c>
      <c r="J208">
        <v>4</v>
      </c>
      <c r="K208">
        <v>396.2</v>
      </c>
      <c r="L208">
        <v>1138.72</v>
      </c>
      <c r="M208">
        <v>1584.8</v>
      </c>
      <c r="N208">
        <v>446.07999999999993</v>
      </c>
      <c r="O208" s="1" t="s">
        <v>47</v>
      </c>
      <c r="P208" s="1" t="s">
        <v>48</v>
      </c>
      <c r="Q208">
        <v>4</v>
      </c>
    </row>
    <row r="209" spans="1:17" x14ac:dyDescent="0.25">
      <c r="A209" s="1" t="s">
        <v>577</v>
      </c>
      <c r="B209" s="2">
        <v>46110</v>
      </c>
      <c r="C209">
        <v>2026</v>
      </c>
      <c r="D209" s="1" t="s">
        <v>162</v>
      </c>
      <c r="E209" s="1" t="s">
        <v>64</v>
      </c>
      <c r="F209" s="1" t="s">
        <v>197</v>
      </c>
      <c r="G209" s="1" t="s">
        <v>198</v>
      </c>
      <c r="H209" s="1" t="s">
        <v>59</v>
      </c>
      <c r="I209" s="1" t="s">
        <v>31</v>
      </c>
      <c r="J209">
        <v>8</v>
      </c>
      <c r="K209">
        <v>409.54</v>
      </c>
      <c r="L209">
        <v>2333.98</v>
      </c>
      <c r="M209">
        <v>3276.32</v>
      </c>
      <c r="N209">
        <v>942.34000000000015</v>
      </c>
      <c r="O209" s="1" t="s">
        <v>32</v>
      </c>
      <c r="P209" s="1" t="s">
        <v>88</v>
      </c>
      <c r="Q209">
        <v>3</v>
      </c>
    </row>
    <row r="210" spans="1:17" x14ac:dyDescent="0.25">
      <c r="A210" s="1" t="s">
        <v>578</v>
      </c>
      <c r="B210" s="2">
        <v>46065</v>
      </c>
      <c r="C210">
        <v>2026</v>
      </c>
      <c r="D210" s="1" t="s">
        <v>524</v>
      </c>
      <c r="E210" s="1" t="s">
        <v>579</v>
      </c>
      <c r="F210" s="1" t="s">
        <v>57</v>
      </c>
      <c r="G210" s="1" t="s">
        <v>58</v>
      </c>
      <c r="H210" s="1" t="s">
        <v>59</v>
      </c>
      <c r="I210" s="1" t="s">
        <v>31</v>
      </c>
      <c r="J210">
        <v>5</v>
      </c>
      <c r="K210">
        <v>239.73</v>
      </c>
      <c r="L210">
        <v>864.19</v>
      </c>
      <c r="M210">
        <v>1198.6499999999999</v>
      </c>
      <c r="N210">
        <v>334.45999999999981</v>
      </c>
      <c r="O210" s="1" t="s">
        <v>32</v>
      </c>
      <c r="P210" s="1" t="s">
        <v>84</v>
      </c>
      <c r="Q210">
        <v>2</v>
      </c>
    </row>
    <row r="211" spans="1:17" x14ac:dyDescent="0.25">
      <c r="A211" s="1" t="s">
        <v>580</v>
      </c>
      <c r="B211" s="2">
        <v>46183</v>
      </c>
      <c r="C211">
        <v>2026</v>
      </c>
      <c r="D211" s="1" t="s">
        <v>18</v>
      </c>
      <c r="E211" s="1" t="s">
        <v>581</v>
      </c>
      <c r="F211" s="1" t="s">
        <v>169</v>
      </c>
      <c r="G211" s="1" t="s">
        <v>170</v>
      </c>
      <c r="H211" s="1" t="s">
        <v>78</v>
      </c>
      <c r="I211" s="1" t="s">
        <v>46</v>
      </c>
      <c r="J211">
        <v>10</v>
      </c>
      <c r="K211">
        <v>111.27</v>
      </c>
      <c r="L211">
        <v>633.16</v>
      </c>
      <c r="M211">
        <v>1112.7</v>
      </c>
      <c r="N211">
        <v>479.54000000000008</v>
      </c>
      <c r="O211" s="1" t="s">
        <v>47</v>
      </c>
      <c r="P211" s="1" t="s">
        <v>171</v>
      </c>
      <c r="Q211">
        <v>6</v>
      </c>
    </row>
    <row r="212" spans="1:17" x14ac:dyDescent="0.25">
      <c r="A212" s="1" t="s">
        <v>582</v>
      </c>
      <c r="B212" s="2">
        <v>46339</v>
      </c>
      <c r="C212">
        <v>2026</v>
      </c>
      <c r="D212" s="1" t="s">
        <v>488</v>
      </c>
      <c r="E212" s="1" t="s">
        <v>583</v>
      </c>
      <c r="F212" s="1" t="s">
        <v>211</v>
      </c>
      <c r="G212" s="1" t="s">
        <v>212</v>
      </c>
      <c r="H212" s="1" t="s">
        <v>39</v>
      </c>
      <c r="I212" s="1" t="s">
        <v>60</v>
      </c>
      <c r="J212">
        <v>2</v>
      </c>
      <c r="K212">
        <v>235.7</v>
      </c>
      <c r="L212">
        <v>266.69</v>
      </c>
      <c r="M212">
        <v>471.4</v>
      </c>
      <c r="N212">
        <v>204.70999999999998</v>
      </c>
      <c r="O212" s="1" t="s">
        <v>52</v>
      </c>
      <c r="P212" s="1" t="s">
        <v>134</v>
      </c>
      <c r="Q212">
        <v>11</v>
      </c>
    </row>
    <row r="213" spans="1:17" x14ac:dyDescent="0.25">
      <c r="A213" s="1" t="s">
        <v>584</v>
      </c>
      <c r="B213" s="2">
        <v>46318</v>
      </c>
      <c r="C213">
        <v>2026</v>
      </c>
      <c r="D213" s="1" t="s">
        <v>243</v>
      </c>
      <c r="E213" s="1" t="s">
        <v>585</v>
      </c>
      <c r="F213" s="1" t="s">
        <v>189</v>
      </c>
      <c r="G213" s="1" t="s">
        <v>190</v>
      </c>
      <c r="H213" s="1" t="s">
        <v>22</v>
      </c>
      <c r="I213" s="1" t="s">
        <v>60</v>
      </c>
      <c r="J213">
        <v>8</v>
      </c>
      <c r="K213">
        <v>262.14999999999998</v>
      </c>
      <c r="L213">
        <v>1406.38</v>
      </c>
      <c r="M213">
        <v>2097.1999999999998</v>
      </c>
      <c r="N213">
        <v>690.81999999999971</v>
      </c>
      <c r="O213" s="1" t="s">
        <v>52</v>
      </c>
      <c r="P213" s="1" t="s">
        <v>53</v>
      </c>
      <c r="Q213">
        <v>10</v>
      </c>
    </row>
    <row r="214" spans="1:17" x14ac:dyDescent="0.25">
      <c r="A214" s="1" t="s">
        <v>586</v>
      </c>
      <c r="B214" s="2">
        <v>46348</v>
      </c>
      <c r="C214">
        <v>2026</v>
      </c>
      <c r="D214" s="1" t="s">
        <v>103</v>
      </c>
      <c r="E214" s="1" t="s">
        <v>376</v>
      </c>
      <c r="F214" s="1" t="s">
        <v>329</v>
      </c>
      <c r="G214" s="1" t="s">
        <v>330</v>
      </c>
      <c r="H214" s="1" t="s">
        <v>78</v>
      </c>
      <c r="I214" s="1" t="s">
        <v>46</v>
      </c>
      <c r="J214">
        <v>1</v>
      </c>
      <c r="K214">
        <v>167.37</v>
      </c>
      <c r="L214">
        <v>103.81</v>
      </c>
      <c r="M214">
        <v>167.37</v>
      </c>
      <c r="N214">
        <v>63.56</v>
      </c>
      <c r="O214" s="1" t="s">
        <v>52</v>
      </c>
      <c r="P214" s="1" t="s">
        <v>134</v>
      </c>
      <c r="Q214">
        <v>11</v>
      </c>
    </row>
    <row r="215" spans="1:17" x14ac:dyDescent="0.25">
      <c r="A215" s="1" t="s">
        <v>587</v>
      </c>
      <c r="B215" s="2">
        <v>46246</v>
      </c>
      <c r="C215">
        <v>2026</v>
      </c>
      <c r="D215" s="1" t="s">
        <v>588</v>
      </c>
      <c r="E215" s="1" t="s">
        <v>549</v>
      </c>
      <c r="F215" s="1" t="s">
        <v>245</v>
      </c>
      <c r="G215" s="1" t="s">
        <v>246</v>
      </c>
      <c r="H215" s="1" t="s">
        <v>39</v>
      </c>
      <c r="I215" s="1" t="s">
        <v>60</v>
      </c>
      <c r="J215">
        <v>13</v>
      </c>
      <c r="K215">
        <v>312.35000000000002</v>
      </c>
      <c r="L215">
        <v>2970.31</v>
      </c>
      <c r="M215">
        <v>4060.55</v>
      </c>
      <c r="N215">
        <v>1090.2400000000002</v>
      </c>
      <c r="O215" s="1" t="s">
        <v>24</v>
      </c>
      <c r="P215" s="1" t="s">
        <v>101</v>
      </c>
      <c r="Q215">
        <v>8</v>
      </c>
    </row>
    <row r="216" spans="1:17" x14ac:dyDescent="0.25">
      <c r="A216" s="1" t="s">
        <v>589</v>
      </c>
      <c r="B216" s="2">
        <v>46217</v>
      </c>
      <c r="C216">
        <v>2026</v>
      </c>
      <c r="D216" s="1" t="s">
        <v>450</v>
      </c>
      <c r="E216" s="1" t="s">
        <v>590</v>
      </c>
      <c r="F216" s="1" t="s">
        <v>185</v>
      </c>
      <c r="G216" s="1" t="s">
        <v>186</v>
      </c>
      <c r="H216" s="1" t="s">
        <v>22</v>
      </c>
      <c r="I216" s="1" t="s">
        <v>60</v>
      </c>
      <c r="J216">
        <v>19</v>
      </c>
      <c r="K216">
        <v>49.28</v>
      </c>
      <c r="L216">
        <v>558.67999999999995</v>
      </c>
      <c r="M216">
        <v>936.32</v>
      </c>
      <c r="N216">
        <v>377.6400000000001</v>
      </c>
      <c r="O216" s="1" t="s">
        <v>24</v>
      </c>
      <c r="P216" s="1" t="s">
        <v>25</v>
      </c>
      <c r="Q216">
        <v>7</v>
      </c>
    </row>
    <row r="217" spans="1:17" x14ac:dyDescent="0.25">
      <c r="A217" s="1" t="s">
        <v>591</v>
      </c>
      <c r="B217" s="2">
        <v>46386</v>
      </c>
      <c r="C217">
        <v>2026</v>
      </c>
      <c r="D217" s="1" t="s">
        <v>273</v>
      </c>
      <c r="E217" s="1" t="s">
        <v>28</v>
      </c>
      <c r="F217" s="1" t="s">
        <v>533</v>
      </c>
      <c r="G217" s="1" t="s">
        <v>534</v>
      </c>
      <c r="H217" s="1" t="s">
        <v>236</v>
      </c>
      <c r="I217" s="1" t="s">
        <v>60</v>
      </c>
      <c r="J217">
        <v>9</v>
      </c>
      <c r="K217">
        <v>151.97</v>
      </c>
      <c r="L217">
        <v>1133.57</v>
      </c>
      <c r="M217">
        <v>1367.73</v>
      </c>
      <c r="N217">
        <v>234.16000000000008</v>
      </c>
      <c r="O217" s="1" t="s">
        <v>52</v>
      </c>
      <c r="P217" s="1" t="s">
        <v>67</v>
      </c>
      <c r="Q217">
        <v>12</v>
      </c>
    </row>
    <row r="218" spans="1:17" x14ac:dyDescent="0.25">
      <c r="A218" s="1" t="s">
        <v>592</v>
      </c>
      <c r="B218" s="2">
        <v>46122</v>
      </c>
      <c r="C218">
        <v>2026</v>
      </c>
      <c r="D218" s="1" t="s">
        <v>524</v>
      </c>
      <c r="E218" s="1" t="s">
        <v>507</v>
      </c>
      <c r="F218" s="1" t="s">
        <v>120</v>
      </c>
      <c r="G218" s="1" t="s">
        <v>121</v>
      </c>
      <c r="H218" s="1" t="s">
        <v>39</v>
      </c>
      <c r="I218" s="1" t="s">
        <v>23</v>
      </c>
      <c r="J218">
        <v>9</v>
      </c>
      <c r="K218">
        <v>323.55</v>
      </c>
      <c r="L218">
        <v>2308.98</v>
      </c>
      <c r="M218">
        <v>2911.9500000000003</v>
      </c>
      <c r="N218">
        <v>602.97000000000025</v>
      </c>
      <c r="O218" s="1" t="s">
        <v>47</v>
      </c>
      <c r="P218" s="1" t="s">
        <v>48</v>
      </c>
      <c r="Q218">
        <v>4</v>
      </c>
    </row>
    <row r="219" spans="1:17" x14ac:dyDescent="0.25">
      <c r="A219" s="1" t="s">
        <v>593</v>
      </c>
      <c r="B219" s="2">
        <v>46168</v>
      </c>
      <c r="C219">
        <v>2026</v>
      </c>
      <c r="D219" s="1" t="s">
        <v>381</v>
      </c>
      <c r="E219" s="1" t="s">
        <v>320</v>
      </c>
      <c r="F219" s="1" t="s">
        <v>76</v>
      </c>
      <c r="G219" s="1" t="s">
        <v>77</v>
      </c>
      <c r="H219" s="1" t="s">
        <v>78</v>
      </c>
      <c r="I219" s="1" t="s">
        <v>31</v>
      </c>
      <c r="J219">
        <v>1</v>
      </c>
      <c r="K219">
        <v>70.62</v>
      </c>
      <c r="L219">
        <v>43.51</v>
      </c>
      <c r="M219">
        <v>70.62</v>
      </c>
      <c r="N219">
        <v>27.110000000000007</v>
      </c>
      <c r="O219" s="1" t="s">
        <v>47</v>
      </c>
      <c r="P219" s="1" t="s">
        <v>92</v>
      </c>
      <c r="Q219">
        <v>5</v>
      </c>
    </row>
    <row r="220" spans="1:17" x14ac:dyDescent="0.25">
      <c r="A220" s="1" t="s">
        <v>594</v>
      </c>
      <c r="B220" s="2">
        <v>46312</v>
      </c>
      <c r="C220">
        <v>2026</v>
      </c>
      <c r="D220" s="1" t="s">
        <v>408</v>
      </c>
      <c r="E220" s="1" t="s">
        <v>396</v>
      </c>
      <c r="F220" s="1" t="s">
        <v>294</v>
      </c>
      <c r="G220" s="1" t="s">
        <v>295</v>
      </c>
      <c r="H220" s="1" t="s">
        <v>236</v>
      </c>
      <c r="I220" s="1" t="s">
        <v>60</v>
      </c>
      <c r="J220">
        <v>3</v>
      </c>
      <c r="K220">
        <v>165.35</v>
      </c>
      <c r="L220">
        <v>308.73</v>
      </c>
      <c r="M220">
        <v>496.04999999999995</v>
      </c>
      <c r="N220">
        <v>187.31999999999994</v>
      </c>
      <c r="O220" s="1" t="s">
        <v>52</v>
      </c>
      <c r="P220" s="1" t="s">
        <v>53</v>
      </c>
      <c r="Q220">
        <v>10</v>
      </c>
    </row>
    <row r="221" spans="1:17" x14ac:dyDescent="0.25">
      <c r="A221" s="1" t="s">
        <v>595</v>
      </c>
      <c r="B221" s="2">
        <v>46053</v>
      </c>
      <c r="C221">
        <v>2026</v>
      </c>
      <c r="D221" s="1" t="s">
        <v>248</v>
      </c>
      <c r="E221" s="1" t="s">
        <v>596</v>
      </c>
      <c r="F221" s="1" t="s">
        <v>96</v>
      </c>
      <c r="G221" s="1" t="s">
        <v>97</v>
      </c>
      <c r="H221" s="1" t="s">
        <v>39</v>
      </c>
      <c r="I221" s="1" t="s">
        <v>23</v>
      </c>
      <c r="J221">
        <v>18</v>
      </c>
      <c r="K221">
        <v>59.18</v>
      </c>
      <c r="L221">
        <v>593.72</v>
      </c>
      <c r="M221">
        <v>1065.24</v>
      </c>
      <c r="N221">
        <v>471.52</v>
      </c>
      <c r="O221" s="1" t="s">
        <v>32</v>
      </c>
      <c r="P221" s="1" t="s">
        <v>33</v>
      </c>
      <c r="Q221">
        <v>1</v>
      </c>
    </row>
    <row r="222" spans="1:17" x14ac:dyDescent="0.25">
      <c r="A222" s="1" t="s">
        <v>597</v>
      </c>
      <c r="B222" s="2">
        <v>46112</v>
      </c>
      <c r="C222">
        <v>2026</v>
      </c>
      <c r="D222" s="1" t="s">
        <v>414</v>
      </c>
      <c r="E222" s="1" t="s">
        <v>509</v>
      </c>
      <c r="F222" s="1" t="s">
        <v>329</v>
      </c>
      <c r="G222" s="1" t="s">
        <v>330</v>
      </c>
      <c r="H222" s="1" t="s">
        <v>78</v>
      </c>
      <c r="I222" s="1" t="s">
        <v>31</v>
      </c>
      <c r="J222">
        <v>11</v>
      </c>
      <c r="K222">
        <v>151.02000000000001</v>
      </c>
      <c r="L222">
        <v>1215.56</v>
      </c>
      <c r="M222">
        <v>1661.22</v>
      </c>
      <c r="N222">
        <v>445.66000000000008</v>
      </c>
      <c r="O222" s="1" t="s">
        <v>32</v>
      </c>
      <c r="P222" s="1" t="s">
        <v>88</v>
      </c>
      <c r="Q222">
        <v>3</v>
      </c>
    </row>
    <row r="223" spans="1:17" x14ac:dyDescent="0.25">
      <c r="A223" s="1" t="s">
        <v>598</v>
      </c>
      <c r="B223" s="2">
        <v>46208</v>
      </c>
      <c r="C223">
        <v>2026</v>
      </c>
      <c r="D223" s="1" t="s">
        <v>123</v>
      </c>
      <c r="E223" s="1" t="s">
        <v>599</v>
      </c>
      <c r="F223" s="1" t="s">
        <v>294</v>
      </c>
      <c r="G223" s="1" t="s">
        <v>295</v>
      </c>
      <c r="H223" s="1" t="s">
        <v>236</v>
      </c>
      <c r="I223" s="1" t="s">
        <v>46</v>
      </c>
      <c r="J223">
        <v>15</v>
      </c>
      <c r="K223">
        <v>142.41999999999999</v>
      </c>
      <c r="L223">
        <v>1405.72</v>
      </c>
      <c r="M223">
        <v>2136.2999999999997</v>
      </c>
      <c r="N223">
        <v>730.5799999999997</v>
      </c>
      <c r="O223" s="1" t="s">
        <v>24</v>
      </c>
      <c r="P223" s="1" t="s">
        <v>25</v>
      </c>
      <c r="Q223">
        <v>7</v>
      </c>
    </row>
    <row r="224" spans="1:17" x14ac:dyDescent="0.25">
      <c r="A224" s="1" t="s">
        <v>600</v>
      </c>
      <c r="B224" s="2">
        <v>46181</v>
      </c>
      <c r="C224">
        <v>2026</v>
      </c>
      <c r="D224" s="1" t="s">
        <v>99</v>
      </c>
      <c r="E224" s="1" t="s">
        <v>36</v>
      </c>
      <c r="F224" s="1" t="s">
        <v>206</v>
      </c>
      <c r="G224" s="1" t="s">
        <v>207</v>
      </c>
      <c r="H224" s="1" t="s">
        <v>39</v>
      </c>
      <c r="I224" s="1" t="s">
        <v>46</v>
      </c>
      <c r="J224">
        <v>15</v>
      </c>
      <c r="K224">
        <v>427.35</v>
      </c>
      <c r="L224">
        <v>4244.6499999999996</v>
      </c>
      <c r="M224">
        <v>6410.25</v>
      </c>
      <c r="N224">
        <v>2165.6000000000004</v>
      </c>
      <c r="O224" s="1" t="s">
        <v>47</v>
      </c>
      <c r="P224" s="1" t="s">
        <v>171</v>
      </c>
      <c r="Q224">
        <v>6</v>
      </c>
    </row>
    <row r="225" spans="1:17" x14ac:dyDescent="0.25">
      <c r="A225" s="1" t="s">
        <v>601</v>
      </c>
      <c r="B225" s="2">
        <v>46387</v>
      </c>
      <c r="C225">
        <v>2026</v>
      </c>
      <c r="D225" s="1" t="s">
        <v>86</v>
      </c>
      <c r="E225" s="1" t="s">
        <v>328</v>
      </c>
      <c r="F225" s="1" t="s">
        <v>206</v>
      </c>
      <c r="G225" s="1" t="s">
        <v>207</v>
      </c>
      <c r="H225" s="1" t="s">
        <v>39</v>
      </c>
      <c r="I225" s="1" t="s">
        <v>31</v>
      </c>
      <c r="J225">
        <v>15</v>
      </c>
      <c r="K225">
        <v>67.77</v>
      </c>
      <c r="L225">
        <v>594.92999999999995</v>
      </c>
      <c r="M225">
        <v>1016.55</v>
      </c>
      <c r="N225">
        <v>421.62</v>
      </c>
      <c r="O225" s="1" t="s">
        <v>52</v>
      </c>
      <c r="P225" s="1" t="s">
        <v>67</v>
      </c>
      <c r="Q225">
        <v>12</v>
      </c>
    </row>
    <row r="226" spans="1:17" x14ac:dyDescent="0.25">
      <c r="A226" s="1" t="s">
        <v>602</v>
      </c>
      <c r="B226" s="2">
        <v>46110</v>
      </c>
      <c r="C226">
        <v>2026</v>
      </c>
      <c r="D226" s="1" t="s">
        <v>276</v>
      </c>
      <c r="E226" s="1" t="s">
        <v>463</v>
      </c>
      <c r="F226" s="1" t="s">
        <v>440</v>
      </c>
      <c r="G226" s="1" t="s">
        <v>441</v>
      </c>
      <c r="H226" s="1" t="s">
        <v>45</v>
      </c>
      <c r="I226" s="1" t="s">
        <v>60</v>
      </c>
      <c r="J226">
        <v>19</v>
      </c>
      <c r="K226">
        <v>303.26</v>
      </c>
      <c r="L226">
        <v>4345.66</v>
      </c>
      <c r="M226">
        <v>5761.94</v>
      </c>
      <c r="N226">
        <v>1416.2799999999997</v>
      </c>
      <c r="O226" s="1" t="s">
        <v>32</v>
      </c>
      <c r="P226" s="1" t="s">
        <v>88</v>
      </c>
      <c r="Q226">
        <v>3</v>
      </c>
    </row>
    <row r="227" spans="1:17" x14ac:dyDescent="0.25">
      <c r="A227" s="1" t="s">
        <v>603</v>
      </c>
      <c r="B227" s="2">
        <v>46174</v>
      </c>
      <c r="C227">
        <v>2026</v>
      </c>
      <c r="D227" s="1" t="s">
        <v>323</v>
      </c>
      <c r="E227" s="1" t="s">
        <v>305</v>
      </c>
      <c r="F227" s="1" t="s">
        <v>363</v>
      </c>
      <c r="G227" s="1" t="s">
        <v>364</v>
      </c>
      <c r="H227" s="1" t="s">
        <v>78</v>
      </c>
      <c r="I227" s="1" t="s">
        <v>46</v>
      </c>
      <c r="J227">
        <v>18</v>
      </c>
      <c r="K227">
        <v>269.18</v>
      </c>
      <c r="L227">
        <v>3300.15</v>
      </c>
      <c r="M227">
        <v>4845.24</v>
      </c>
      <c r="N227">
        <v>1545.0899999999997</v>
      </c>
      <c r="O227" s="1" t="s">
        <v>47</v>
      </c>
      <c r="P227" s="1" t="s">
        <v>171</v>
      </c>
      <c r="Q227">
        <v>6</v>
      </c>
    </row>
    <row r="228" spans="1:17" x14ac:dyDescent="0.25">
      <c r="A228" s="1" t="s">
        <v>604</v>
      </c>
      <c r="B228" s="2">
        <v>46063</v>
      </c>
      <c r="C228">
        <v>2026</v>
      </c>
      <c r="D228" s="1" t="s">
        <v>99</v>
      </c>
      <c r="E228" s="1" t="s">
        <v>605</v>
      </c>
      <c r="F228" s="1" t="s">
        <v>138</v>
      </c>
      <c r="G228" s="1" t="s">
        <v>139</v>
      </c>
      <c r="H228" s="1" t="s">
        <v>45</v>
      </c>
      <c r="I228" s="1" t="s">
        <v>23</v>
      </c>
      <c r="J228">
        <v>18</v>
      </c>
      <c r="K228">
        <v>32.869999999999997</v>
      </c>
      <c r="L228">
        <v>458.32</v>
      </c>
      <c r="M228">
        <v>591.66</v>
      </c>
      <c r="N228">
        <v>133.33999999999997</v>
      </c>
      <c r="O228" s="1" t="s">
        <v>32</v>
      </c>
      <c r="P228" s="1" t="s">
        <v>84</v>
      </c>
      <c r="Q228">
        <v>2</v>
      </c>
    </row>
    <row r="229" spans="1:17" x14ac:dyDescent="0.25">
      <c r="A229" s="1" t="s">
        <v>606</v>
      </c>
      <c r="B229" s="2">
        <v>46150</v>
      </c>
      <c r="C229">
        <v>2026</v>
      </c>
      <c r="D229" s="1" t="s">
        <v>607</v>
      </c>
      <c r="E229" s="1" t="s">
        <v>544</v>
      </c>
      <c r="F229" s="1" t="s">
        <v>90</v>
      </c>
      <c r="G229" s="1" t="s">
        <v>91</v>
      </c>
      <c r="H229" s="1" t="s">
        <v>22</v>
      </c>
      <c r="I229" s="1" t="s">
        <v>23</v>
      </c>
      <c r="J229">
        <v>12</v>
      </c>
      <c r="K229">
        <v>495.92</v>
      </c>
      <c r="L229">
        <v>4206.84</v>
      </c>
      <c r="M229">
        <v>5951.04</v>
      </c>
      <c r="N229">
        <v>1744.1999999999998</v>
      </c>
      <c r="O229" s="1" t="s">
        <v>47</v>
      </c>
      <c r="P229" s="1" t="s">
        <v>92</v>
      </c>
      <c r="Q229">
        <v>5</v>
      </c>
    </row>
    <row r="230" spans="1:17" x14ac:dyDescent="0.25">
      <c r="A230" s="1" t="s">
        <v>608</v>
      </c>
      <c r="B230" s="2">
        <v>46360</v>
      </c>
      <c r="C230">
        <v>2026</v>
      </c>
      <c r="D230" s="1" t="s">
        <v>162</v>
      </c>
      <c r="E230" s="1" t="s">
        <v>609</v>
      </c>
      <c r="F230" s="1" t="s">
        <v>20</v>
      </c>
      <c r="G230" s="1" t="s">
        <v>21</v>
      </c>
      <c r="H230" s="1" t="s">
        <v>22</v>
      </c>
      <c r="I230" s="1" t="s">
        <v>23</v>
      </c>
      <c r="J230">
        <v>12</v>
      </c>
      <c r="K230">
        <v>79.38</v>
      </c>
      <c r="L230">
        <v>560.98</v>
      </c>
      <c r="M230">
        <v>952.56</v>
      </c>
      <c r="N230">
        <v>391.57999999999993</v>
      </c>
      <c r="O230" s="1" t="s">
        <v>52</v>
      </c>
      <c r="P230" s="1" t="s">
        <v>67</v>
      </c>
      <c r="Q230">
        <v>12</v>
      </c>
    </row>
    <row r="231" spans="1:17" x14ac:dyDescent="0.25">
      <c r="A231" s="1" t="s">
        <v>610</v>
      </c>
      <c r="B231" s="2">
        <v>46045</v>
      </c>
      <c r="C231">
        <v>2026</v>
      </c>
      <c r="D231" s="1" t="s">
        <v>462</v>
      </c>
      <c r="E231" s="1" t="s">
        <v>611</v>
      </c>
      <c r="F231" s="1" t="s">
        <v>109</v>
      </c>
      <c r="G231" s="1" t="s">
        <v>110</v>
      </c>
      <c r="H231" s="1" t="s">
        <v>111</v>
      </c>
      <c r="I231" s="1" t="s">
        <v>46</v>
      </c>
      <c r="J231">
        <v>3</v>
      </c>
      <c r="K231">
        <v>121.64</v>
      </c>
      <c r="L231">
        <v>293.7</v>
      </c>
      <c r="M231">
        <v>364.92</v>
      </c>
      <c r="N231">
        <v>71.220000000000027</v>
      </c>
      <c r="O231" s="1" t="s">
        <v>32</v>
      </c>
      <c r="P231" s="1" t="s">
        <v>33</v>
      </c>
      <c r="Q231">
        <v>1</v>
      </c>
    </row>
    <row r="232" spans="1:17" x14ac:dyDescent="0.25">
      <c r="A232" s="1" t="s">
        <v>612</v>
      </c>
      <c r="B232" s="2">
        <v>46252</v>
      </c>
      <c r="C232">
        <v>2026</v>
      </c>
      <c r="D232" s="1" t="s">
        <v>323</v>
      </c>
      <c r="E232" s="1" t="s">
        <v>347</v>
      </c>
      <c r="F232" s="1" t="s">
        <v>29</v>
      </c>
      <c r="G232" s="1" t="s">
        <v>30</v>
      </c>
      <c r="H232" s="1" t="s">
        <v>22</v>
      </c>
      <c r="I232" s="1" t="s">
        <v>46</v>
      </c>
      <c r="J232">
        <v>4</v>
      </c>
      <c r="K232">
        <v>175.82</v>
      </c>
      <c r="L232">
        <v>459.99</v>
      </c>
      <c r="M232">
        <v>703.28</v>
      </c>
      <c r="N232">
        <v>243.28999999999996</v>
      </c>
      <c r="O232" s="1" t="s">
        <v>24</v>
      </c>
      <c r="P232" s="1" t="s">
        <v>101</v>
      </c>
      <c r="Q232">
        <v>8</v>
      </c>
    </row>
    <row r="233" spans="1:17" x14ac:dyDescent="0.25">
      <c r="A233" s="1" t="s">
        <v>613</v>
      </c>
      <c r="B233" s="2">
        <v>46349</v>
      </c>
      <c r="C233">
        <v>2026</v>
      </c>
      <c r="D233" s="1" t="s">
        <v>157</v>
      </c>
      <c r="E233" s="1" t="s">
        <v>448</v>
      </c>
      <c r="F233" s="1" t="s">
        <v>179</v>
      </c>
      <c r="G233" s="1" t="s">
        <v>180</v>
      </c>
      <c r="H233" s="1" t="s">
        <v>78</v>
      </c>
      <c r="I233" s="1" t="s">
        <v>46</v>
      </c>
      <c r="J233">
        <v>3</v>
      </c>
      <c r="K233">
        <v>375.94</v>
      </c>
      <c r="L233">
        <v>795.77</v>
      </c>
      <c r="M233">
        <v>1127.82</v>
      </c>
      <c r="N233">
        <v>332.04999999999995</v>
      </c>
      <c r="O233" s="1" t="s">
        <v>52</v>
      </c>
      <c r="P233" s="1" t="s">
        <v>134</v>
      </c>
      <c r="Q233">
        <v>11</v>
      </c>
    </row>
    <row r="234" spans="1:17" x14ac:dyDescent="0.25">
      <c r="A234" s="1" t="s">
        <v>614</v>
      </c>
      <c r="B234" s="2">
        <v>46160</v>
      </c>
      <c r="C234">
        <v>2026</v>
      </c>
      <c r="D234" s="1" t="s">
        <v>378</v>
      </c>
      <c r="E234" s="1" t="s">
        <v>217</v>
      </c>
      <c r="F234" s="1" t="s">
        <v>231</v>
      </c>
      <c r="G234" s="1" t="s">
        <v>232</v>
      </c>
      <c r="H234" s="1" t="s">
        <v>59</v>
      </c>
      <c r="I234" s="1" t="s">
        <v>31</v>
      </c>
      <c r="J234">
        <v>11</v>
      </c>
      <c r="K234">
        <v>286.08</v>
      </c>
      <c r="L234">
        <v>2238.17</v>
      </c>
      <c r="M234">
        <v>3146.8799999999997</v>
      </c>
      <c r="N234">
        <v>908.70999999999958</v>
      </c>
      <c r="O234" s="1" t="s">
        <v>47</v>
      </c>
      <c r="P234" s="1" t="s">
        <v>92</v>
      </c>
      <c r="Q234">
        <v>5</v>
      </c>
    </row>
    <row r="235" spans="1:17" x14ac:dyDescent="0.25">
      <c r="A235" s="1" t="s">
        <v>615</v>
      </c>
      <c r="B235" s="2">
        <v>46259</v>
      </c>
      <c r="C235">
        <v>2026</v>
      </c>
      <c r="D235" s="1" t="s">
        <v>173</v>
      </c>
      <c r="E235" s="1" t="s">
        <v>596</v>
      </c>
      <c r="F235" s="1" t="s">
        <v>149</v>
      </c>
      <c r="G235" s="1" t="s">
        <v>150</v>
      </c>
      <c r="H235" s="1" t="s">
        <v>22</v>
      </c>
      <c r="I235" s="1" t="s">
        <v>31</v>
      </c>
      <c r="J235">
        <v>4</v>
      </c>
      <c r="K235">
        <v>489.6</v>
      </c>
      <c r="L235">
        <v>1139.3800000000001</v>
      </c>
      <c r="M235">
        <v>1958.4</v>
      </c>
      <c r="N235">
        <v>819.02</v>
      </c>
      <c r="O235" s="1" t="s">
        <v>24</v>
      </c>
      <c r="P235" s="1" t="s">
        <v>101</v>
      </c>
      <c r="Q235">
        <v>8</v>
      </c>
    </row>
    <row r="236" spans="1:17" x14ac:dyDescent="0.25">
      <c r="A236" s="1" t="s">
        <v>616</v>
      </c>
      <c r="B236" s="2">
        <v>46352</v>
      </c>
      <c r="C236">
        <v>2026</v>
      </c>
      <c r="D236" s="1" t="s">
        <v>479</v>
      </c>
      <c r="E236" s="1" t="s">
        <v>374</v>
      </c>
      <c r="F236" s="1" t="s">
        <v>115</v>
      </c>
      <c r="G236" s="1" t="s">
        <v>116</v>
      </c>
      <c r="H236" s="1" t="s">
        <v>22</v>
      </c>
      <c r="I236" s="1" t="s">
        <v>60</v>
      </c>
      <c r="J236">
        <v>18</v>
      </c>
      <c r="K236">
        <v>29.69</v>
      </c>
      <c r="L236">
        <v>370.29</v>
      </c>
      <c r="M236">
        <v>534.42000000000007</v>
      </c>
      <c r="N236">
        <v>164.13000000000005</v>
      </c>
      <c r="O236" s="1" t="s">
        <v>52</v>
      </c>
      <c r="P236" s="1" t="s">
        <v>134</v>
      </c>
      <c r="Q236">
        <v>11</v>
      </c>
    </row>
    <row r="237" spans="1:17" x14ac:dyDescent="0.25">
      <c r="A237" s="1" t="s">
        <v>617</v>
      </c>
      <c r="B237" s="2">
        <v>46251</v>
      </c>
      <c r="C237">
        <v>2026</v>
      </c>
      <c r="D237" s="1" t="s">
        <v>200</v>
      </c>
      <c r="E237" s="1" t="s">
        <v>618</v>
      </c>
      <c r="F237" s="1" t="s">
        <v>179</v>
      </c>
      <c r="G237" s="1" t="s">
        <v>180</v>
      </c>
      <c r="H237" s="1" t="s">
        <v>78</v>
      </c>
      <c r="I237" s="1" t="s">
        <v>46</v>
      </c>
      <c r="J237">
        <v>8</v>
      </c>
      <c r="K237">
        <v>38.700000000000003</v>
      </c>
      <c r="L237">
        <v>246.85</v>
      </c>
      <c r="M237">
        <v>309.60000000000002</v>
      </c>
      <c r="N237">
        <v>62.750000000000028</v>
      </c>
      <c r="O237" s="1" t="s">
        <v>24</v>
      </c>
      <c r="P237" s="1" t="s">
        <v>101</v>
      </c>
      <c r="Q237">
        <v>8</v>
      </c>
    </row>
    <row r="238" spans="1:17" x14ac:dyDescent="0.25">
      <c r="A238" s="1" t="s">
        <v>619</v>
      </c>
      <c r="B238" s="2">
        <v>46055</v>
      </c>
      <c r="C238">
        <v>2026</v>
      </c>
      <c r="D238" s="1" t="s">
        <v>546</v>
      </c>
      <c r="E238" s="1" t="s">
        <v>504</v>
      </c>
      <c r="F238" s="1" t="s">
        <v>76</v>
      </c>
      <c r="G238" s="1" t="s">
        <v>77</v>
      </c>
      <c r="H238" s="1" t="s">
        <v>78</v>
      </c>
      <c r="I238" s="1" t="s">
        <v>23</v>
      </c>
      <c r="J238">
        <v>17</v>
      </c>
      <c r="K238">
        <v>426.11</v>
      </c>
      <c r="L238">
        <v>4745.8500000000004</v>
      </c>
      <c r="M238">
        <v>7243.87</v>
      </c>
      <c r="N238">
        <v>2498.0199999999995</v>
      </c>
      <c r="O238" s="1" t="s">
        <v>32</v>
      </c>
      <c r="P238" s="1" t="s">
        <v>84</v>
      </c>
      <c r="Q238">
        <v>2</v>
      </c>
    </row>
    <row r="239" spans="1:17" x14ac:dyDescent="0.25">
      <c r="A239" s="1" t="s">
        <v>620</v>
      </c>
      <c r="B239" s="2">
        <v>46107</v>
      </c>
      <c r="C239">
        <v>2026</v>
      </c>
      <c r="D239" s="1" t="s">
        <v>279</v>
      </c>
      <c r="E239" s="1" t="s">
        <v>261</v>
      </c>
      <c r="F239" s="1" t="s">
        <v>500</v>
      </c>
      <c r="G239" s="1" t="s">
        <v>501</v>
      </c>
      <c r="H239" s="1" t="s">
        <v>111</v>
      </c>
      <c r="I239" s="1" t="s">
        <v>60</v>
      </c>
      <c r="J239">
        <v>5</v>
      </c>
      <c r="K239">
        <v>355.27</v>
      </c>
      <c r="L239">
        <v>1123.1300000000001</v>
      </c>
      <c r="M239">
        <v>1776.35</v>
      </c>
      <c r="N239">
        <v>653.2199999999998</v>
      </c>
      <c r="O239" s="1" t="s">
        <v>32</v>
      </c>
      <c r="P239" s="1" t="s">
        <v>88</v>
      </c>
      <c r="Q239">
        <v>3</v>
      </c>
    </row>
    <row r="240" spans="1:17" x14ac:dyDescent="0.25">
      <c r="A240" s="1" t="s">
        <v>621</v>
      </c>
      <c r="B240" s="2">
        <v>46220</v>
      </c>
      <c r="C240">
        <v>2026</v>
      </c>
      <c r="D240" s="1" t="s">
        <v>378</v>
      </c>
      <c r="E240" s="1" t="s">
        <v>354</v>
      </c>
      <c r="F240" s="1" t="s">
        <v>82</v>
      </c>
      <c r="G240" s="1" t="s">
        <v>83</v>
      </c>
      <c r="H240" s="1" t="s">
        <v>45</v>
      </c>
      <c r="I240" s="1" t="s">
        <v>31</v>
      </c>
      <c r="J240">
        <v>17</v>
      </c>
      <c r="K240">
        <v>264.69</v>
      </c>
      <c r="L240">
        <v>3079.11</v>
      </c>
      <c r="M240">
        <v>4499.7299999999996</v>
      </c>
      <c r="N240">
        <v>1420.6199999999994</v>
      </c>
      <c r="O240" s="1" t="s">
        <v>24</v>
      </c>
      <c r="P240" s="1" t="s">
        <v>25</v>
      </c>
      <c r="Q240">
        <v>7</v>
      </c>
    </row>
    <row r="241" spans="1:17" x14ac:dyDescent="0.25">
      <c r="A241" s="1" t="s">
        <v>622</v>
      </c>
      <c r="B241" s="2">
        <v>46026</v>
      </c>
      <c r="C241">
        <v>2026</v>
      </c>
      <c r="D241" s="1" t="s">
        <v>483</v>
      </c>
      <c r="E241" s="1" t="s">
        <v>391</v>
      </c>
      <c r="F241" s="1" t="s">
        <v>29</v>
      </c>
      <c r="G241" s="1" t="s">
        <v>30</v>
      </c>
      <c r="H241" s="1" t="s">
        <v>22</v>
      </c>
      <c r="I241" s="1" t="s">
        <v>46</v>
      </c>
      <c r="J241">
        <v>11</v>
      </c>
      <c r="K241">
        <v>450.42</v>
      </c>
      <c r="L241">
        <v>2791.75</v>
      </c>
      <c r="M241">
        <v>4954.62</v>
      </c>
      <c r="N241">
        <v>2162.87</v>
      </c>
      <c r="O241" s="1" t="s">
        <v>32</v>
      </c>
      <c r="P241" s="1" t="s">
        <v>33</v>
      </c>
      <c r="Q241">
        <v>1</v>
      </c>
    </row>
    <row r="242" spans="1:17" x14ac:dyDescent="0.25">
      <c r="A242" s="1" t="s">
        <v>623</v>
      </c>
      <c r="B242" s="2">
        <v>46263</v>
      </c>
      <c r="C242">
        <v>2026</v>
      </c>
      <c r="D242" s="1" t="s">
        <v>315</v>
      </c>
      <c r="E242" s="1" t="s">
        <v>525</v>
      </c>
      <c r="F242" s="1" t="s">
        <v>169</v>
      </c>
      <c r="G242" s="1" t="s">
        <v>170</v>
      </c>
      <c r="H242" s="1" t="s">
        <v>78</v>
      </c>
      <c r="I242" s="1" t="s">
        <v>31</v>
      </c>
      <c r="J242">
        <v>6</v>
      </c>
      <c r="K242">
        <v>426.12</v>
      </c>
      <c r="L242">
        <v>2033.39</v>
      </c>
      <c r="M242">
        <v>2556.7200000000003</v>
      </c>
      <c r="N242">
        <v>523.33000000000015</v>
      </c>
      <c r="O242" s="1" t="s">
        <v>24</v>
      </c>
      <c r="P242" s="1" t="s">
        <v>101</v>
      </c>
      <c r="Q242">
        <v>8</v>
      </c>
    </row>
    <row r="243" spans="1:17" x14ac:dyDescent="0.25">
      <c r="A243" s="1" t="s">
        <v>624</v>
      </c>
      <c r="B243" s="2">
        <v>46030</v>
      </c>
      <c r="C243">
        <v>2026</v>
      </c>
      <c r="D243" s="1" t="s">
        <v>63</v>
      </c>
      <c r="E243" s="1" t="s">
        <v>376</v>
      </c>
      <c r="F243" s="1" t="s">
        <v>164</v>
      </c>
      <c r="G243" s="1" t="s">
        <v>165</v>
      </c>
      <c r="H243" s="1" t="s">
        <v>22</v>
      </c>
      <c r="I243" s="1" t="s">
        <v>23</v>
      </c>
      <c r="J243">
        <v>5</v>
      </c>
      <c r="K243">
        <v>331.57</v>
      </c>
      <c r="L243">
        <v>1108.67</v>
      </c>
      <c r="M243">
        <v>1657.85</v>
      </c>
      <c r="N243">
        <v>549.17999999999984</v>
      </c>
      <c r="O243" s="1" t="s">
        <v>32</v>
      </c>
      <c r="P243" s="1" t="s">
        <v>33</v>
      </c>
      <c r="Q243">
        <v>1</v>
      </c>
    </row>
    <row r="244" spans="1:17" x14ac:dyDescent="0.25">
      <c r="A244" s="1" t="s">
        <v>625</v>
      </c>
      <c r="B244" s="2">
        <v>46275</v>
      </c>
      <c r="C244">
        <v>2026</v>
      </c>
      <c r="D244" s="1" t="s">
        <v>129</v>
      </c>
      <c r="E244" s="1" t="s">
        <v>626</v>
      </c>
      <c r="F244" s="1" t="s">
        <v>169</v>
      </c>
      <c r="G244" s="1" t="s">
        <v>170</v>
      </c>
      <c r="H244" s="1" t="s">
        <v>78</v>
      </c>
      <c r="I244" s="1" t="s">
        <v>46</v>
      </c>
      <c r="J244">
        <v>10</v>
      </c>
      <c r="K244">
        <v>276.63</v>
      </c>
      <c r="L244">
        <v>1820.64</v>
      </c>
      <c r="M244">
        <v>2766.3</v>
      </c>
      <c r="N244">
        <v>945.66000000000008</v>
      </c>
      <c r="O244" s="1" t="s">
        <v>24</v>
      </c>
      <c r="P244" s="1" t="s">
        <v>61</v>
      </c>
      <c r="Q244">
        <v>9</v>
      </c>
    </row>
    <row r="245" spans="1:17" x14ac:dyDescent="0.25">
      <c r="A245" s="1" t="s">
        <v>627</v>
      </c>
      <c r="B245" s="2">
        <v>46334</v>
      </c>
      <c r="C245">
        <v>2026</v>
      </c>
      <c r="D245" s="1" t="s">
        <v>94</v>
      </c>
      <c r="E245" s="1" t="s">
        <v>277</v>
      </c>
      <c r="F245" s="1" t="s">
        <v>120</v>
      </c>
      <c r="G245" s="1" t="s">
        <v>121</v>
      </c>
      <c r="H245" s="1" t="s">
        <v>39</v>
      </c>
      <c r="I245" s="1" t="s">
        <v>60</v>
      </c>
      <c r="J245">
        <v>10</v>
      </c>
      <c r="K245">
        <v>378.36</v>
      </c>
      <c r="L245">
        <v>2381.84</v>
      </c>
      <c r="M245">
        <v>3783.6000000000004</v>
      </c>
      <c r="N245">
        <v>1401.7600000000002</v>
      </c>
      <c r="O245" s="1" t="s">
        <v>52</v>
      </c>
      <c r="P245" s="1" t="s">
        <v>134</v>
      </c>
      <c r="Q245">
        <v>11</v>
      </c>
    </row>
    <row r="246" spans="1:17" x14ac:dyDescent="0.25">
      <c r="A246" s="1" t="s">
        <v>628</v>
      </c>
      <c r="B246" s="2">
        <v>46043</v>
      </c>
      <c r="C246">
        <v>2026</v>
      </c>
      <c r="D246" s="1" t="s">
        <v>629</v>
      </c>
      <c r="E246" s="1" t="s">
        <v>328</v>
      </c>
      <c r="F246" s="1" t="s">
        <v>154</v>
      </c>
      <c r="G246" s="1" t="s">
        <v>155</v>
      </c>
      <c r="H246" s="1" t="s">
        <v>22</v>
      </c>
      <c r="I246" s="1" t="s">
        <v>46</v>
      </c>
      <c r="J246">
        <v>9</v>
      </c>
      <c r="K246">
        <v>325.83999999999997</v>
      </c>
      <c r="L246">
        <v>1778.77</v>
      </c>
      <c r="M246">
        <v>2932.56</v>
      </c>
      <c r="N246">
        <v>1153.79</v>
      </c>
      <c r="O246" s="1" t="s">
        <v>32</v>
      </c>
      <c r="P246" s="1" t="s">
        <v>33</v>
      </c>
      <c r="Q246">
        <v>1</v>
      </c>
    </row>
    <row r="247" spans="1:17" x14ac:dyDescent="0.25">
      <c r="A247" s="1" t="s">
        <v>630</v>
      </c>
      <c r="B247" s="2">
        <v>46290</v>
      </c>
      <c r="C247">
        <v>2026</v>
      </c>
      <c r="D247" s="1" t="s">
        <v>255</v>
      </c>
      <c r="E247" s="1" t="s">
        <v>631</v>
      </c>
      <c r="F247" s="1" t="s">
        <v>265</v>
      </c>
      <c r="G247" s="1" t="s">
        <v>266</v>
      </c>
      <c r="H247" s="1" t="s">
        <v>59</v>
      </c>
      <c r="I247" s="1" t="s">
        <v>23</v>
      </c>
      <c r="J247">
        <v>15</v>
      </c>
      <c r="K247">
        <v>247.77</v>
      </c>
      <c r="L247">
        <v>2386.1999999999998</v>
      </c>
      <c r="M247">
        <v>3716.55</v>
      </c>
      <c r="N247">
        <v>1330.3500000000004</v>
      </c>
      <c r="O247" s="1" t="s">
        <v>24</v>
      </c>
      <c r="P247" s="1" t="s">
        <v>61</v>
      </c>
      <c r="Q247">
        <v>9</v>
      </c>
    </row>
    <row r="248" spans="1:17" x14ac:dyDescent="0.25">
      <c r="A248" s="1" t="s">
        <v>632</v>
      </c>
      <c r="B248" s="2">
        <v>46182</v>
      </c>
      <c r="C248">
        <v>2026</v>
      </c>
      <c r="D248" s="1" t="s">
        <v>222</v>
      </c>
      <c r="E248" s="1" t="s">
        <v>188</v>
      </c>
      <c r="F248" s="1" t="s">
        <v>294</v>
      </c>
      <c r="G248" s="1" t="s">
        <v>295</v>
      </c>
      <c r="H248" s="1" t="s">
        <v>236</v>
      </c>
      <c r="I248" s="1" t="s">
        <v>23</v>
      </c>
      <c r="J248">
        <v>20</v>
      </c>
      <c r="K248">
        <v>47.95</v>
      </c>
      <c r="L248">
        <v>653.89</v>
      </c>
      <c r="M248">
        <v>959</v>
      </c>
      <c r="N248">
        <v>305.11</v>
      </c>
      <c r="O248" s="1" t="s">
        <v>47</v>
      </c>
      <c r="P248" s="1" t="s">
        <v>171</v>
      </c>
      <c r="Q248">
        <v>6</v>
      </c>
    </row>
    <row r="249" spans="1:17" x14ac:dyDescent="0.25">
      <c r="A249" s="1" t="s">
        <v>633</v>
      </c>
      <c r="B249" s="2">
        <v>46356</v>
      </c>
      <c r="C249">
        <v>2026</v>
      </c>
      <c r="D249" s="1" t="s">
        <v>443</v>
      </c>
      <c r="E249" s="1" t="s">
        <v>634</v>
      </c>
      <c r="F249" s="1" t="s">
        <v>82</v>
      </c>
      <c r="G249" s="1" t="s">
        <v>83</v>
      </c>
      <c r="H249" s="1" t="s">
        <v>45</v>
      </c>
      <c r="I249" s="1" t="s">
        <v>31</v>
      </c>
      <c r="J249">
        <v>16</v>
      </c>
      <c r="K249">
        <v>273.33</v>
      </c>
      <c r="L249">
        <v>3184.32</v>
      </c>
      <c r="M249">
        <v>4373.28</v>
      </c>
      <c r="N249">
        <v>1188.9599999999996</v>
      </c>
      <c r="O249" s="1" t="s">
        <v>52</v>
      </c>
      <c r="P249" s="1" t="s">
        <v>134</v>
      </c>
      <c r="Q249">
        <v>11</v>
      </c>
    </row>
    <row r="250" spans="1:17" x14ac:dyDescent="0.25">
      <c r="A250" s="1" t="s">
        <v>635</v>
      </c>
      <c r="B250" s="2">
        <v>46081</v>
      </c>
      <c r="C250">
        <v>2026</v>
      </c>
      <c r="D250" s="1" t="s">
        <v>284</v>
      </c>
      <c r="E250" s="1" t="s">
        <v>636</v>
      </c>
      <c r="F250" s="1" t="s">
        <v>206</v>
      </c>
      <c r="G250" s="1" t="s">
        <v>207</v>
      </c>
      <c r="H250" s="1" t="s">
        <v>39</v>
      </c>
      <c r="I250" s="1" t="s">
        <v>31</v>
      </c>
      <c r="J250">
        <v>9</v>
      </c>
      <c r="K250">
        <v>366.05</v>
      </c>
      <c r="L250">
        <v>2168.4</v>
      </c>
      <c r="M250">
        <v>3294.4500000000003</v>
      </c>
      <c r="N250">
        <v>1126.0500000000002</v>
      </c>
      <c r="O250" s="1" t="s">
        <v>32</v>
      </c>
      <c r="P250" s="1" t="s">
        <v>84</v>
      </c>
      <c r="Q250">
        <v>2</v>
      </c>
    </row>
    <row r="251" spans="1:17" x14ac:dyDescent="0.25">
      <c r="A251" s="1" t="s">
        <v>637</v>
      </c>
      <c r="B251" s="2">
        <v>46137</v>
      </c>
      <c r="C251">
        <v>2026</v>
      </c>
      <c r="D251" s="1" t="s">
        <v>74</v>
      </c>
      <c r="E251" s="1" t="s">
        <v>638</v>
      </c>
      <c r="F251" s="1" t="s">
        <v>363</v>
      </c>
      <c r="G251" s="1" t="s">
        <v>364</v>
      </c>
      <c r="H251" s="1" t="s">
        <v>78</v>
      </c>
      <c r="I251" s="1" t="s">
        <v>31</v>
      </c>
      <c r="J251">
        <v>20</v>
      </c>
      <c r="K251">
        <v>454.62</v>
      </c>
      <c r="L251">
        <v>7075.47</v>
      </c>
      <c r="M251">
        <v>9092.4</v>
      </c>
      <c r="N251">
        <v>2016.9299999999994</v>
      </c>
      <c r="O251" s="1" t="s">
        <v>47</v>
      </c>
      <c r="P251" s="1" t="s">
        <v>48</v>
      </c>
      <c r="Q251">
        <v>4</v>
      </c>
    </row>
    <row r="252" spans="1:17" x14ac:dyDescent="0.25">
      <c r="A252" s="1" t="s">
        <v>639</v>
      </c>
      <c r="B252" s="2">
        <v>46058</v>
      </c>
      <c r="C252">
        <v>2026</v>
      </c>
      <c r="D252" s="1" t="s">
        <v>443</v>
      </c>
      <c r="E252" s="1" t="s">
        <v>640</v>
      </c>
      <c r="F252" s="1" t="s">
        <v>76</v>
      </c>
      <c r="G252" s="1" t="s">
        <v>77</v>
      </c>
      <c r="H252" s="1" t="s">
        <v>78</v>
      </c>
      <c r="I252" s="1" t="s">
        <v>23</v>
      </c>
      <c r="J252">
        <v>16</v>
      </c>
      <c r="K252">
        <v>82.81</v>
      </c>
      <c r="L252">
        <v>830.57</v>
      </c>
      <c r="M252">
        <v>1324.96</v>
      </c>
      <c r="N252">
        <v>494.39</v>
      </c>
      <c r="O252" s="1" t="s">
        <v>32</v>
      </c>
      <c r="P252" s="1" t="s">
        <v>84</v>
      </c>
      <c r="Q252">
        <v>2</v>
      </c>
    </row>
    <row r="253" spans="1:17" x14ac:dyDescent="0.25">
      <c r="A253" s="1" t="s">
        <v>641</v>
      </c>
      <c r="B253" s="2">
        <v>46256</v>
      </c>
      <c r="C253">
        <v>2026</v>
      </c>
      <c r="D253" s="1" t="s">
        <v>433</v>
      </c>
      <c r="E253" s="1" t="s">
        <v>127</v>
      </c>
      <c r="F253" s="1" t="s">
        <v>115</v>
      </c>
      <c r="G253" s="1" t="s">
        <v>116</v>
      </c>
      <c r="H253" s="1" t="s">
        <v>22</v>
      </c>
      <c r="I253" s="1" t="s">
        <v>46</v>
      </c>
      <c r="J253">
        <v>9</v>
      </c>
      <c r="K253">
        <v>380.67</v>
      </c>
      <c r="L253">
        <v>1940.48</v>
      </c>
      <c r="M253">
        <v>3426.03</v>
      </c>
      <c r="N253">
        <v>1485.5500000000002</v>
      </c>
      <c r="O253" s="1" t="s">
        <v>24</v>
      </c>
      <c r="P253" s="1" t="s">
        <v>101</v>
      </c>
      <c r="Q253">
        <v>8</v>
      </c>
    </row>
    <row r="254" spans="1:17" x14ac:dyDescent="0.25">
      <c r="A254" s="1" t="s">
        <v>642</v>
      </c>
      <c r="B254" s="2">
        <v>46207</v>
      </c>
      <c r="C254">
        <v>2026</v>
      </c>
      <c r="D254" s="1" t="s">
        <v>373</v>
      </c>
      <c r="E254" s="1" t="s">
        <v>439</v>
      </c>
      <c r="F254" s="1" t="s">
        <v>333</v>
      </c>
      <c r="G254" s="1" t="s">
        <v>334</v>
      </c>
      <c r="H254" s="1" t="s">
        <v>22</v>
      </c>
      <c r="I254" s="1" t="s">
        <v>31</v>
      </c>
      <c r="J254">
        <v>7</v>
      </c>
      <c r="K254">
        <v>298.75</v>
      </c>
      <c r="L254">
        <v>1152.0899999999999</v>
      </c>
      <c r="M254">
        <v>2091.25</v>
      </c>
      <c r="N254">
        <v>939.16000000000008</v>
      </c>
      <c r="O254" s="1" t="s">
        <v>24</v>
      </c>
      <c r="P254" s="1" t="s">
        <v>25</v>
      </c>
      <c r="Q254">
        <v>7</v>
      </c>
    </row>
    <row r="255" spans="1:17" x14ac:dyDescent="0.25">
      <c r="A255" s="1" t="s">
        <v>643</v>
      </c>
      <c r="B255" s="2">
        <v>46150</v>
      </c>
      <c r="C255">
        <v>2026</v>
      </c>
      <c r="D255" s="1" t="s">
        <v>284</v>
      </c>
      <c r="E255" s="1" t="s">
        <v>644</v>
      </c>
      <c r="F255" s="1" t="s">
        <v>65</v>
      </c>
      <c r="G255" s="1" t="s">
        <v>66</v>
      </c>
      <c r="H255" s="1" t="s">
        <v>59</v>
      </c>
      <c r="I255" s="1" t="s">
        <v>46</v>
      </c>
      <c r="J255">
        <v>20</v>
      </c>
      <c r="K255">
        <v>286.11</v>
      </c>
      <c r="L255">
        <v>3596.9</v>
      </c>
      <c r="M255">
        <v>5722.2000000000007</v>
      </c>
      <c r="N255">
        <v>2125.3000000000006</v>
      </c>
      <c r="O255" s="1" t="s">
        <v>47</v>
      </c>
      <c r="P255" s="1" t="s">
        <v>92</v>
      </c>
      <c r="Q255">
        <v>5</v>
      </c>
    </row>
    <row r="256" spans="1:17" x14ac:dyDescent="0.25">
      <c r="A256" s="1" t="s">
        <v>645</v>
      </c>
      <c r="B256" s="2">
        <v>46062</v>
      </c>
      <c r="C256">
        <v>2026</v>
      </c>
      <c r="D256" s="1" t="s">
        <v>646</v>
      </c>
      <c r="E256" s="1" t="s">
        <v>647</v>
      </c>
      <c r="F256" s="1" t="s">
        <v>333</v>
      </c>
      <c r="G256" s="1" t="s">
        <v>334</v>
      </c>
      <c r="H256" s="1" t="s">
        <v>22</v>
      </c>
      <c r="I256" s="1" t="s">
        <v>31</v>
      </c>
      <c r="J256">
        <v>11</v>
      </c>
      <c r="K256">
        <v>95.09</v>
      </c>
      <c r="L256">
        <v>765.52</v>
      </c>
      <c r="M256">
        <v>1045.99</v>
      </c>
      <c r="N256">
        <v>280.47000000000003</v>
      </c>
      <c r="O256" s="1" t="s">
        <v>32</v>
      </c>
      <c r="P256" s="1" t="s">
        <v>84</v>
      </c>
      <c r="Q256">
        <v>2</v>
      </c>
    </row>
    <row r="257" spans="1:17" x14ac:dyDescent="0.25">
      <c r="A257" s="1" t="s">
        <v>648</v>
      </c>
      <c r="B257" s="2">
        <v>46354</v>
      </c>
      <c r="C257">
        <v>2026</v>
      </c>
      <c r="D257" s="1" t="s">
        <v>304</v>
      </c>
      <c r="E257" s="1" t="s">
        <v>366</v>
      </c>
      <c r="F257" s="1" t="s">
        <v>185</v>
      </c>
      <c r="G257" s="1" t="s">
        <v>186</v>
      </c>
      <c r="H257" s="1" t="s">
        <v>22</v>
      </c>
      <c r="I257" s="1" t="s">
        <v>46</v>
      </c>
      <c r="J257">
        <v>5</v>
      </c>
      <c r="K257">
        <v>328.25</v>
      </c>
      <c r="L257">
        <v>952.99</v>
      </c>
      <c r="M257">
        <v>1641.25</v>
      </c>
      <c r="N257">
        <v>688.26</v>
      </c>
      <c r="O257" s="1" t="s">
        <v>52</v>
      </c>
      <c r="P257" s="1" t="s">
        <v>134</v>
      </c>
      <c r="Q257">
        <v>11</v>
      </c>
    </row>
    <row r="258" spans="1:17" x14ac:dyDescent="0.25">
      <c r="A258" s="1" t="s">
        <v>649</v>
      </c>
      <c r="B258" s="2">
        <v>46361</v>
      </c>
      <c r="C258">
        <v>2026</v>
      </c>
      <c r="D258" s="1" t="s">
        <v>27</v>
      </c>
      <c r="E258" s="1" t="s">
        <v>192</v>
      </c>
      <c r="F258" s="1" t="s">
        <v>456</v>
      </c>
      <c r="G258" s="1" t="s">
        <v>457</v>
      </c>
      <c r="H258" s="1" t="s">
        <v>111</v>
      </c>
      <c r="I258" s="1" t="s">
        <v>23</v>
      </c>
      <c r="J258">
        <v>10</v>
      </c>
      <c r="K258">
        <v>373.45</v>
      </c>
      <c r="L258">
        <v>2191.7600000000002</v>
      </c>
      <c r="M258">
        <v>3734.5</v>
      </c>
      <c r="N258">
        <v>1542.7399999999998</v>
      </c>
      <c r="O258" s="1" t="s">
        <v>52</v>
      </c>
      <c r="P258" s="1" t="s">
        <v>67</v>
      </c>
      <c r="Q258">
        <v>12</v>
      </c>
    </row>
    <row r="259" spans="1:17" x14ac:dyDescent="0.25">
      <c r="A259" s="1" t="s">
        <v>650</v>
      </c>
      <c r="B259" s="2">
        <v>46214</v>
      </c>
      <c r="C259">
        <v>2026</v>
      </c>
      <c r="D259" s="1" t="s">
        <v>431</v>
      </c>
      <c r="E259" s="1" t="s">
        <v>560</v>
      </c>
      <c r="F259" s="1" t="s">
        <v>309</v>
      </c>
      <c r="G259" s="1" t="s">
        <v>310</v>
      </c>
      <c r="H259" s="1" t="s">
        <v>78</v>
      </c>
      <c r="I259" s="1" t="s">
        <v>31</v>
      </c>
      <c r="J259">
        <v>8</v>
      </c>
      <c r="K259">
        <v>462.85</v>
      </c>
      <c r="L259">
        <v>2295.48</v>
      </c>
      <c r="M259">
        <v>3702.8</v>
      </c>
      <c r="N259">
        <v>1407.3200000000002</v>
      </c>
      <c r="O259" s="1" t="s">
        <v>24</v>
      </c>
      <c r="P259" s="1" t="s">
        <v>25</v>
      </c>
      <c r="Q259">
        <v>7</v>
      </c>
    </row>
    <row r="260" spans="1:17" x14ac:dyDescent="0.25">
      <c r="A260" s="1" t="s">
        <v>651</v>
      </c>
      <c r="B260" s="2">
        <v>46053</v>
      </c>
      <c r="C260">
        <v>2026</v>
      </c>
      <c r="D260" s="1" t="s">
        <v>167</v>
      </c>
      <c r="E260" s="1" t="s">
        <v>424</v>
      </c>
      <c r="F260" s="1" t="s">
        <v>20</v>
      </c>
      <c r="G260" s="1" t="s">
        <v>21</v>
      </c>
      <c r="H260" s="1" t="s">
        <v>22</v>
      </c>
      <c r="I260" s="1" t="s">
        <v>23</v>
      </c>
      <c r="J260">
        <v>20</v>
      </c>
      <c r="K260">
        <v>453.52</v>
      </c>
      <c r="L260">
        <v>6508.34</v>
      </c>
      <c r="M260">
        <v>9070.4</v>
      </c>
      <c r="N260">
        <v>2562.0599999999995</v>
      </c>
      <c r="O260" s="1" t="s">
        <v>32</v>
      </c>
      <c r="P260" s="1" t="s">
        <v>33</v>
      </c>
      <c r="Q260">
        <v>1</v>
      </c>
    </row>
    <row r="261" spans="1:17" x14ac:dyDescent="0.25">
      <c r="A261" s="1" t="s">
        <v>652</v>
      </c>
      <c r="B261" s="2">
        <v>46023</v>
      </c>
      <c r="C261">
        <v>2026</v>
      </c>
      <c r="D261" s="1" t="s">
        <v>653</v>
      </c>
      <c r="E261" s="1" t="s">
        <v>174</v>
      </c>
      <c r="F261" s="1" t="s">
        <v>415</v>
      </c>
      <c r="G261" s="1" t="s">
        <v>416</v>
      </c>
      <c r="H261" s="1" t="s">
        <v>22</v>
      </c>
      <c r="I261" s="1" t="s">
        <v>23</v>
      </c>
      <c r="J261">
        <v>4</v>
      </c>
      <c r="K261">
        <v>440.45</v>
      </c>
      <c r="L261">
        <v>1165.46</v>
      </c>
      <c r="M261">
        <v>1761.8</v>
      </c>
      <c r="N261">
        <v>596.33999999999992</v>
      </c>
      <c r="O261" s="1" t="s">
        <v>32</v>
      </c>
      <c r="P261" s="1" t="s">
        <v>33</v>
      </c>
      <c r="Q261">
        <v>1</v>
      </c>
    </row>
    <row r="262" spans="1:17" x14ac:dyDescent="0.25">
      <c r="A262" s="1" t="s">
        <v>654</v>
      </c>
      <c r="B262" s="2">
        <v>46038</v>
      </c>
      <c r="C262">
        <v>2026</v>
      </c>
      <c r="D262" s="1" t="s">
        <v>248</v>
      </c>
      <c r="E262" s="1" t="s">
        <v>148</v>
      </c>
      <c r="F262" s="1" t="s">
        <v>71</v>
      </c>
      <c r="G262" s="1" t="s">
        <v>72</v>
      </c>
      <c r="H262" s="1" t="s">
        <v>22</v>
      </c>
      <c r="I262" s="1" t="s">
        <v>31</v>
      </c>
      <c r="J262">
        <v>10</v>
      </c>
      <c r="K262">
        <v>394.46</v>
      </c>
      <c r="L262">
        <v>2649.43</v>
      </c>
      <c r="M262">
        <v>3944.6</v>
      </c>
      <c r="N262">
        <v>1295.17</v>
      </c>
      <c r="O262" s="1" t="s">
        <v>32</v>
      </c>
      <c r="P262" s="1" t="s">
        <v>33</v>
      </c>
      <c r="Q262">
        <v>1</v>
      </c>
    </row>
    <row r="263" spans="1:17" x14ac:dyDescent="0.25">
      <c r="A263" s="1" t="s">
        <v>655</v>
      </c>
      <c r="B263" s="2">
        <v>46286</v>
      </c>
      <c r="C263">
        <v>2026</v>
      </c>
      <c r="D263" s="1" t="s">
        <v>273</v>
      </c>
      <c r="E263" s="1" t="s">
        <v>451</v>
      </c>
      <c r="F263" s="1" t="s">
        <v>257</v>
      </c>
      <c r="G263" s="1" t="s">
        <v>258</v>
      </c>
      <c r="H263" s="1" t="s">
        <v>39</v>
      </c>
      <c r="I263" s="1" t="s">
        <v>23</v>
      </c>
      <c r="J263">
        <v>13</v>
      </c>
      <c r="K263">
        <v>241.26</v>
      </c>
      <c r="L263">
        <v>2450.42</v>
      </c>
      <c r="M263">
        <v>3136.38</v>
      </c>
      <c r="N263">
        <v>685.96</v>
      </c>
      <c r="O263" s="1" t="s">
        <v>24</v>
      </c>
      <c r="P263" s="1" t="s">
        <v>61</v>
      </c>
      <c r="Q263">
        <v>9</v>
      </c>
    </row>
    <row r="264" spans="1:17" x14ac:dyDescent="0.25">
      <c r="A264" s="1" t="s">
        <v>656</v>
      </c>
      <c r="B264" s="2">
        <v>46061</v>
      </c>
      <c r="C264">
        <v>2026</v>
      </c>
      <c r="D264" s="1" t="s">
        <v>216</v>
      </c>
      <c r="E264" s="1" t="s">
        <v>657</v>
      </c>
      <c r="F264" s="1" t="s">
        <v>410</v>
      </c>
      <c r="G264" s="1" t="s">
        <v>411</v>
      </c>
      <c r="H264" s="1" t="s">
        <v>78</v>
      </c>
      <c r="I264" s="1" t="s">
        <v>23</v>
      </c>
      <c r="J264">
        <v>20</v>
      </c>
      <c r="K264">
        <v>227.07</v>
      </c>
      <c r="L264">
        <v>3051.73</v>
      </c>
      <c r="M264">
        <v>4541.3999999999996</v>
      </c>
      <c r="N264">
        <v>1489.6699999999996</v>
      </c>
      <c r="O264" s="1" t="s">
        <v>32</v>
      </c>
      <c r="P264" s="1" t="s">
        <v>84</v>
      </c>
      <c r="Q264">
        <v>2</v>
      </c>
    </row>
    <row r="265" spans="1:17" x14ac:dyDescent="0.25">
      <c r="A265" s="1" t="s">
        <v>658</v>
      </c>
      <c r="B265" s="2">
        <v>46089</v>
      </c>
      <c r="C265">
        <v>2026</v>
      </c>
      <c r="D265" s="1" t="s">
        <v>132</v>
      </c>
      <c r="E265" s="1" t="s">
        <v>493</v>
      </c>
      <c r="F265" s="1" t="s">
        <v>179</v>
      </c>
      <c r="G265" s="1" t="s">
        <v>180</v>
      </c>
      <c r="H265" s="1" t="s">
        <v>78</v>
      </c>
      <c r="I265" s="1" t="s">
        <v>60</v>
      </c>
      <c r="J265">
        <v>7</v>
      </c>
      <c r="K265">
        <v>476.38</v>
      </c>
      <c r="L265">
        <v>1889.3</v>
      </c>
      <c r="M265">
        <v>3334.66</v>
      </c>
      <c r="N265">
        <v>1445.36</v>
      </c>
      <c r="O265" s="1" t="s">
        <v>32</v>
      </c>
      <c r="P265" s="1" t="s">
        <v>88</v>
      </c>
      <c r="Q265">
        <v>3</v>
      </c>
    </row>
    <row r="266" spans="1:17" x14ac:dyDescent="0.25">
      <c r="A266" s="1" t="s">
        <v>659</v>
      </c>
      <c r="B266" s="2">
        <v>46253</v>
      </c>
      <c r="C266">
        <v>2026</v>
      </c>
      <c r="D266" s="1" t="s">
        <v>420</v>
      </c>
      <c r="E266" s="1" t="s">
        <v>469</v>
      </c>
      <c r="F266" s="1" t="s">
        <v>120</v>
      </c>
      <c r="G266" s="1" t="s">
        <v>121</v>
      </c>
      <c r="H266" s="1" t="s">
        <v>39</v>
      </c>
      <c r="I266" s="1" t="s">
        <v>23</v>
      </c>
      <c r="J266">
        <v>4</v>
      </c>
      <c r="K266">
        <v>289.60000000000002</v>
      </c>
      <c r="L266">
        <v>694.47</v>
      </c>
      <c r="M266">
        <v>1158.4000000000001</v>
      </c>
      <c r="N266">
        <v>463.93000000000006</v>
      </c>
      <c r="O266" s="1" t="s">
        <v>24</v>
      </c>
      <c r="P266" s="1" t="s">
        <v>101</v>
      </c>
      <c r="Q266">
        <v>8</v>
      </c>
    </row>
    <row r="267" spans="1:17" x14ac:dyDescent="0.25">
      <c r="A267" s="1" t="s">
        <v>660</v>
      </c>
      <c r="B267" s="2">
        <v>46065</v>
      </c>
      <c r="C267">
        <v>2026</v>
      </c>
      <c r="D267" s="1" t="s">
        <v>307</v>
      </c>
      <c r="E267" s="1" t="s">
        <v>268</v>
      </c>
      <c r="F267" s="1" t="s">
        <v>500</v>
      </c>
      <c r="G267" s="1" t="s">
        <v>501</v>
      </c>
      <c r="H267" s="1" t="s">
        <v>111</v>
      </c>
      <c r="I267" s="1" t="s">
        <v>60</v>
      </c>
      <c r="J267">
        <v>17</v>
      </c>
      <c r="K267">
        <v>326.02999999999997</v>
      </c>
      <c r="L267">
        <v>4031.23</v>
      </c>
      <c r="M267">
        <v>5542.5099999999993</v>
      </c>
      <c r="N267">
        <v>1511.2799999999993</v>
      </c>
      <c r="O267" s="1" t="s">
        <v>32</v>
      </c>
      <c r="P267" s="1" t="s">
        <v>84</v>
      </c>
      <c r="Q267">
        <v>2</v>
      </c>
    </row>
    <row r="268" spans="1:17" x14ac:dyDescent="0.25">
      <c r="A268" s="1" t="s">
        <v>661</v>
      </c>
      <c r="B268" s="2">
        <v>46072</v>
      </c>
      <c r="C268">
        <v>2026</v>
      </c>
      <c r="D268" s="1" t="s">
        <v>300</v>
      </c>
      <c r="E268" s="1" t="s">
        <v>328</v>
      </c>
      <c r="F268" s="1" t="s">
        <v>440</v>
      </c>
      <c r="G268" s="1" t="s">
        <v>441</v>
      </c>
      <c r="H268" s="1" t="s">
        <v>45</v>
      </c>
      <c r="I268" s="1" t="s">
        <v>60</v>
      </c>
      <c r="J268">
        <v>19</v>
      </c>
      <c r="K268">
        <v>399.66</v>
      </c>
      <c r="L268">
        <v>4928.01</v>
      </c>
      <c r="M268">
        <v>7593.5400000000009</v>
      </c>
      <c r="N268">
        <v>2665.5300000000007</v>
      </c>
      <c r="O268" s="1" t="s">
        <v>32</v>
      </c>
      <c r="P268" s="1" t="s">
        <v>84</v>
      </c>
      <c r="Q268">
        <v>2</v>
      </c>
    </row>
    <row r="269" spans="1:17" x14ac:dyDescent="0.25">
      <c r="A269" s="1" t="s">
        <v>662</v>
      </c>
      <c r="B269" s="2">
        <v>46149</v>
      </c>
      <c r="C269">
        <v>2026</v>
      </c>
      <c r="D269" s="1" t="s">
        <v>132</v>
      </c>
      <c r="E269" s="1" t="s">
        <v>638</v>
      </c>
      <c r="F269" s="1" t="s">
        <v>333</v>
      </c>
      <c r="G269" s="1" t="s">
        <v>334</v>
      </c>
      <c r="H269" s="1" t="s">
        <v>22</v>
      </c>
      <c r="I269" s="1" t="s">
        <v>46</v>
      </c>
      <c r="J269">
        <v>14</v>
      </c>
      <c r="K269">
        <v>280.11</v>
      </c>
      <c r="L269">
        <v>2820.56</v>
      </c>
      <c r="M269">
        <v>3921.54</v>
      </c>
      <c r="N269">
        <v>1100.98</v>
      </c>
      <c r="O269" s="1" t="s">
        <v>47</v>
      </c>
      <c r="P269" s="1" t="s">
        <v>92</v>
      </c>
      <c r="Q269">
        <v>5</v>
      </c>
    </row>
    <row r="270" spans="1:17" x14ac:dyDescent="0.25">
      <c r="A270" s="1" t="s">
        <v>663</v>
      </c>
      <c r="B270" s="2">
        <v>46187</v>
      </c>
      <c r="C270">
        <v>2026</v>
      </c>
      <c r="D270" s="1" t="s">
        <v>488</v>
      </c>
      <c r="E270" s="1" t="s">
        <v>328</v>
      </c>
      <c r="F270" s="1" t="s">
        <v>197</v>
      </c>
      <c r="G270" s="1" t="s">
        <v>198</v>
      </c>
      <c r="H270" s="1" t="s">
        <v>59</v>
      </c>
      <c r="I270" s="1" t="s">
        <v>60</v>
      </c>
      <c r="J270">
        <v>3</v>
      </c>
      <c r="K270">
        <v>435.35</v>
      </c>
      <c r="L270">
        <v>988.81</v>
      </c>
      <c r="M270">
        <v>1306.0500000000002</v>
      </c>
      <c r="N270">
        <v>317.24000000000024</v>
      </c>
      <c r="O270" s="1" t="s">
        <v>47</v>
      </c>
      <c r="P270" s="1" t="s">
        <v>171</v>
      </c>
      <c r="Q270">
        <v>6</v>
      </c>
    </row>
    <row r="271" spans="1:17" x14ac:dyDescent="0.25">
      <c r="A271" s="1" t="s">
        <v>664</v>
      </c>
      <c r="B271" s="2">
        <v>46126</v>
      </c>
      <c r="C271">
        <v>2026</v>
      </c>
      <c r="D271" s="1" t="s">
        <v>35</v>
      </c>
      <c r="E271" s="1" t="s">
        <v>665</v>
      </c>
      <c r="F271" s="1" t="s">
        <v>144</v>
      </c>
      <c r="G271" s="1" t="s">
        <v>145</v>
      </c>
      <c r="H271" s="1" t="s">
        <v>39</v>
      </c>
      <c r="I271" s="1" t="s">
        <v>60</v>
      </c>
      <c r="J271">
        <v>12</v>
      </c>
      <c r="K271">
        <v>249.41</v>
      </c>
      <c r="L271">
        <v>1882.08</v>
      </c>
      <c r="M271">
        <v>2992.92</v>
      </c>
      <c r="N271">
        <v>1110.8400000000001</v>
      </c>
      <c r="O271" s="1" t="s">
        <v>47</v>
      </c>
      <c r="P271" s="1" t="s">
        <v>48</v>
      </c>
      <c r="Q271">
        <v>4</v>
      </c>
    </row>
    <row r="272" spans="1:17" x14ac:dyDescent="0.25">
      <c r="A272" s="1" t="s">
        <v>666</v>
      </c>
      <c r="B272" s="2">
        <v>46260</v>
      </c>
      <c r="C272">
        <v>2026</v>
      </c>
      <c r="D272" s="1" t="s">
        <v>209</v>
      </c>
      <c r="E272" s="1" t="s">
        <v>148</v>
      </c>
      <c r="F272" s="1" t="s">
        <v>410</v>
      </c>
      <c r="G272" s="1" t="s">
        <v>411</v>
      </c>
      <c r="H272" s="1" t="s">
        <v>78</v>
      </c>
      <c r="I272" s="1" t="s">
        <v>46</v>
      </c>
      <c r="J272">
        <v>4</v>
      </c>
      <c r="K272">
        <v>309.83999999999997</v>
      </c>
      <c r="L272">
        <v>709.3</v>
      </c>
      <c r="M272">
        <v>1239.3599999999999</v>
      </c>
      <c r="N272">
        <v>530.05999999999995</v>
      </c>
      <c r="O272" s="1" t="s">
        <v>24</v>
      </c>
      <c r="P272" s="1" t="s">
        <v>101</v>
      </c>
      <c r="Q272">
        <v>8</v>
      </c>
    </row>
    <row r="273" spans="1:17" x14ac:dyDescent="0.25">
      <c r="A273" s="1" t="s">
        <v>667</v>
      </c>
      <c r="B273" s="2">
        <v>46030</v>
      </c>
      <c r="C273">
        <v>2026</v>
      </c>
      <c r="D273" s="1" t="s">
        <v>462</v>
      </c>
      <c r="E273" s="1" t="s">
        <v>668</v>
      </c>
      <c r="F273" s="1" t="s">
        <v>105</v>
      </c>
      <c r="G273" s="1" t="s">
        <v>106</v>
      </c>
      <c r="H273" s="1" t="s">
        <v>78</v>
      </c>
      <c r="I273" s="1" t="s">
        <v>31</v>
      </c>
      <c r="J273">
        <v>2</v>
      </c>
      <c r="K273">
        <v>187.75</v>
      </c>
      <c r="L273">
        <v>308.77</v>
      </c>
      <c r="M273">
        <v>375.5</v>
      </c>
      <c r="N273">
        <v>66.730000000000018</v>
      </c>
      <c r="O273" s="1" t="s">
        <v>32</v>
      </c>
      <c r="P273" s="1" t="s">
        <v>33</v>
      </c>
      <c r="Q273">
        <v>1</v>
      </c>
    </row>
    <row r="274" spans="1:17" x14ac:dyDescent="0.25">
      <c r="A274" s="1" t="s">
        <v>669</v>
      </c>
      <c r="B274" s="2">
        <v>46264</v>
      </c>
      <c r="C274">
        <v>2026</v>
      </c>
      <c r="D274" s="1" t="s">
        <v>50</v>
      </c>
      <c r="E274" s="1" t="s">
        <v>228</v>
      </c>
      <c r="F274" s="1" t="s">
        <v>231</v>
      </c>
      <c r="G274" s="1" t="s">
        <v>232</v>
      </c>
      <c r="H274" s="1" t="s">
        <v>59</v>
      </c>
      <c r="I274" s="1" t="s">
        <v>46</v>
      </c>
      <c r="J274">
        <v>6</v>
      </c>
      <c r="K274">
        <v>253.73</v>
      </c>
      <c r="L274">
        <v>853.37</v>
      </c>
      <c r="M274">
        <v>1522.3799999999999</v>
      </c>
      <c r="N274">
        <v>669.00999999999988</v>
      </c>
      <c r="O274" s="1" t="s">
        <v>24</v>
      </c>
      <c r="P274" s="1" t="s">
        <v>101</v>
      </c>
      <c r="Q274">
        <v>8</v>
      </c>
    </row>
    <row r="275" spans="1:17" x14ac:dyDescent="0.25">
      <c r="A275" s="1" t="s">
        <v>670</v>
      </c>
      <c r="B275" s="2">
        <v>46327</v>
      </c>
      <c r="C275">
        <v>2026</v>
      </c>
      <c r="D275" s="1" t="s">
        <v>41</v>
      </c>
      <c r="E275" s="1" t="s">
        <v>42</v>
      </c>
      <c r="F275" s="1" t="s">
        <v>234</v>
      </c>
      <c r="G275" s="1" t="s">
        <v>235</v>
      </c>
      <c r="H275" s="1" t="s">
        <v>236</v>
      </c>
      <c r="I275" s="1" t="s">
        <v>60</v>
      </c>
      <c r="J275">
        <v>12</v>
      </c>
      <c r="K275">
        <v>220.09</v>
      </c>
      <c r="L275">
        <v>2096.9499999999998</v>
      </c>
      <c r="M275">
        <v>2641.08</v>
      </c>
      <c r="N275">
        <v>544.13000000000011</v>
      </c>
      <c r="O275" s="1" t="s">
        <v>52</v>
      </c>
      <c r="P275" s="1" t="s">
        <v>134</v>
      </c>
      <c r="Q275">
        <v>11</v>
      </c>
    </row>
    <row r="276" spans="1:17" x14ac:dyDescent="0.25">
      <c r="A276" s="1" t="s">
        <v>671</v>
      </c>
      <c r="B276" s="2">
        <v>46379</v>
      </c>
      <c r="C276">
        <v>2026</v>
      </c>
      <c r="D276" s="1" t="s">
        <v>27</v>
      </c>
      <c r="E276" s="1" t="s">
        <v>435</v>
      </c>
      <c r="F276" s="1" t="s">
        <v>149</v>
      </c>
      <c r="G276" s="1" t="s">
        <v>150</v>
      </c>
      <c r="H276" s="1" t="s">
        <v>22</v>
      </c>
      <c r="I276" s="1" t="s">
        <v>23</v>
      </c>
      <c r="J276">
        <v>17</v>
      </c>
      <c r="K276">
        <v>113.1</v>
      </c>
      <c r="L276">
        <v>1170.98</v>
      </c>
      <c r="M276">
        <v>1922.6999999999998</v>
      </c>
      <c r="N276">
        <v>751.7199999999998</v>
      </c>
      <c r="O276" s="1" t="s">
        <v>52</v>
      </c>
      <c r="P276" s="1" t="s">
        <v>67</v>
      </c>
      <c r="Q276">
        <v>12</v>
      </c>
    </row>
    <row r="277" spans="1:17" x14ac:dyDescent="0.25">
      <c r="A277" s="1" t="s">
        <v>672</v>
      </c>
      <c r="B277" s="2">
        <v>46378</v>
      </c>
      <c r="C277">
        <v>2026</v>
      </c>
      <c r="D277" s="1" t="s">
        <v>200</v>
      </c>
      <c r="E277" s="1" t="s">
        <v>528</v>
      </c>
      <c r="F277" s="1" t="s">
        <v>105</v>
      </c>
      <c r="G277" s="1" t="s">
        <v>106</v>
      </c>
      <c r="H277" s="1" t="s">
        <v>78</v>
      </c>
      <c r="I277" s="1" t="s">
        <v>23</v>
      </c>
      <c r="J277">
        <v>17</v>
      </c>
      <c r="K277">
        <v>90.2</v>
      </c>
      <c r="L277">
        <v>1114.5899999999999</v>
      </c>
      <c r="M277">
        <v>1533.4</v>
      </c>
      <c r="N277">
        <v>418.81000000000017</v>
      </c>
      <c r="O277" s="1" t="s">
        <v>52</v>
      </c>
      <c r="P277" s="1" t="s">
        <v>67</v>
      </c>
      <c r="Q277">
        <v>12</v>
      </c>
    </row>
    <row r="278" spans="1:17" x14ac:dyDescent="0.25">
      <c r="A278" s="1" t="s">
        <v>673</v>
      </c>
      <c r="B278" s="2">
        <v>46083</v>
      </c>
      <c r="C278">
        <v>2026</v>
      </c>
      <c r="D278" s="1" t="s">
        <v>69</v>
      </c>
      <c r="E278" s="1" t="s">
        <v>473</v>
      </c>
      <c r="F278" s="1" t="s">
        <v>206</v>
      </c>
      <c r="G278" s="1" t="s">
        <v>207</v>
      </c>
      <c r="H278" s="1" t="s">
        <v>39</v>
      </c>
      <c r="I278" s="1" t="s">
        <v>23</v>
      </c>
      <c r="J278">
        <v>20</v>
      </c>
      <c r="K278">
        <v>255.26</v>
      </c>
      <c r="L278">
        <v>3099.87</v>
      </c>
      <c r="M278">
        <v>5105.2</v>
      </c>
      <c r="N278">
        <v>2005.33</v>
      </c>
      <c r="O278" s="1" t="s">
        <v>32</v>
      </c>
      <c r="P278" s="1" t="s">
        <v>88</v>
      </c>
      <c r="Q278">
        <v>3</v>
      </c>
    </row>
    <row r="279" spans="1:17" x14ac:dyDescent="0.25">
      <c r="A279" s="1" t="s">
        <v>674</v>
      </c>
      <c r="B279" s="2">
        <v>46222</v>
      </c>
      <c r="C279">
        <v>2026</v>
      </c>
      <c r="D279" s="1" t="s">
        <v>557</v>
      </c>
      <c r="E279" s="1" t="s">
        <v>282</v>
      </c>
      <c r="F279" s="1" t="s">
        <v>185</v>
      </c>
      <c r="G279" s="1" t="s">
        <v>186</v>
      </c>
      <c r="H279" s="1" t="s">
        <v>22</v>
      </c>
      <c r="I279" s="1" t="s">
        <v>60</v>
      </c>
      <c r="J279">
        <v>18</v>
      </c>
      <c r="K279">
        <v>245.96</v>
      </c>
      <c r="L279">
        <v>2545.2199999999998</v>
      </c>
      <c r="M279">
        <v>4427.28</v>
      </c>
      <c r="N279">
        <v>1882.06</v>
      </c>
      <c r="O279" s="1" t="s">
        <v>24</v>
      </c>
      <c r="P279" s="1" t="s">
        <v>25</v>
      </c>
      <c r="Q279">
        <v>7</v>
      </c>
    </row>
    <row r="280" spans="1:17" x14ac:dyDescent="0.25">
      <c r="A280" s="1" t="s">
        <v>675</v>
      </c>
      <c r="B280" s="2">
        <v>46341</v>
      </c>
      <c r="C280">
        <v>2026</v>
      </c>
      <c r="D280" s="1" t="s">
        <v>676</v>
      </c>
      <c r="E280" s="1" t="s">
        <v>677</v>
      </c>
      <c r="F280" s="1" t="s">
        <v>257</v>
      </c>
      <c r="G280" s="1" t="s">
        <v>258</v>
      </c>
      <c r="H280" s="1" t="s">
        <v>39</v>
      </c>
      <c r="I280" s="1" t="s">
        <v>31</v>
      </c>
      <c r="J280">
        <v>7</v>
      </c>
      <c r="K280">
        <v>122.15</v>
      </c>
      <c r="L280">
        <v>589.66999999999996</v>
      </c>
      <c r="M280">
        <v>855.05000000000007</v>
      </c>
      <c r="N280">
        <v>265.38000000000011</v>
      </c>
      <c r="O280" s="1" t="s">
        <v>52</v>
      </c>
      <c r="P280" s="1" t="s">
        <v>134</v>
      </c>
      <c r="Q280">
        <v>11</v>
      </c>
    </row>
    <row r="281" spans="1:17" x14ac:dyDescent="0.25">
      <c r="A281" s="1" t="s">
        <v>678</v>
      </c>
      <c r="B281" s="2">
        <v>46378</v>
      </c>
      <c r="C281">
        <v>2026</v>
      </c>
      <c r="D281" s="1" t="s">
        <v>676</v>
      </c>
      <c r="E281" s="1" t="s">
        <v>679</v>
      </c>
      <c r="F281" s="1" t="s">
        <v>456</v>
      </c>
      <c r="G281" s="1" t="s">
        <v>457</v>
      </c>
      <c r="H281" s="1" t="s">
        <v>111</v>
      </c>
      <c r="I281" s="1" t="s">
        <v>60</v>
      </c>
      <c r="J281">
        <v>9</v>
      </c>
      <c r="K281">
        <v>85.13</v>
      </c>
      <c r="L281">
        <v>528.9</v>
      </c>
      <c r="M281">
        <v>766.17</v>
      </c>
      <c r="N281">
        <v>237.26999999999998</v>
      </c>
      <c r="O281" s="1" t="s">
        <v>52</v>
      </c>
      <c r="P281" s="1" t="s">
        <v>67</v>
      </c>
      <c r="Q281">
        <v>12</v>
      </c>
    </row>
    <row r="282" spans="1:17" x14ac:dyDescent="0.25">
      <c r="A282" s="1" t="s">
        <v>680</v>
      </c>
      <c r="B282" s="2">
        <v>46357</v>
      </c>
      <c r="C282">
        <v>2026</v>
      </c>
      <c r="D282" s="1" t="s">
        <v>297</v>
      </c>
      <c r="E282" s="1" t="s">
        <v>681</v>
      </c>
      <c r="F282" s="1" t="s">
        <v>179</v>
      </c>
      <c r="G282" s="1" t="s">
        <v>180</v>
      </c>
      <c r="H282" s="1" t="s">
        <v>78</v>
      </c>
      <c r="I282" s="1" t="s">
        <v>46</v>
      </c>
      <c r="J282">
        <v>8</v>
      </c>
      <c r="K282">
        <v>428.91</v>
      </c>
      <c r="L282">
        <v>2342.89</v>
      </c>
      <c r="M282">
        <v>3431.28</v>
      </c>
      <c r="N282">
        <v>1088.3900000000003</v>
      </c>
      <c r="O282" s="1" t="s">
        <v>52</v>
      </c>
      <c r="P282" s="1" t="s">
        <v>67</v>
      </c>
      <c r="Q282">
        <v>12</v>
      </c>
    </row>
    <row r="283" spans="1:17" x14ac:dyDescent="0.25">
      <c r="A283" s="1" t="s">
        <v>682</v>
      </c>
      <c r="B283" s="2">
        <v>46356</v>
      </c>
      <c r="C283">
        <v>2026</v>
      </c>
      <c r="D283" s="1" t="s">
        <v>362</v>
      </c>
      <c r="E283" s="1" t="s">
        <v>133</v>
      </c>
      <c r="F283" s="1" t="s">
        <v>82</v>
      </c>
      <c r="G283" s="1" t="s">
        <v>83</v>
      </c>
      <c r="H283" s="1" t="s">
        <v>45</v>
      </c>
      <c r="I283" s="1" t="s">
        <v>31</v>
      </c>
      <c r="J283">
        <v>10</v>
      </c>
      <c r="K283">
        <v>430.8</v>
      </c>
      <c r="L283">
        <v>2733.52</v>
      </c>
      <c r="M283">
        <v>4308</v>
      </c>
      <c r="N283">
        <v>1574.48</v>
      </c>
      <c r="O283" s="1" t="s">
        <v>52</v>
      </c>
      <c r="P283" s="1" t="s">
        <v>134</v>
      </c>
      <c r="Q283">
        <v>11</v>
      </c>
    </row>
    <row r="284" spans="1:17" x14ac:dyDescent="0.25">
      <c r="A284" s="1" t="s">
        <v>683</v>
      </c>
      <c r="B284" s="2">
        <v>46197</v>
      </c>
      <c r="C284">
        <v>2026</v>
      </c>
      <c r="D284" s="1" t="s">
        <v>323</v>
      </c>
      <c r="E284" s="1" t="s">
        <v>684</v>
      </c>
      <c r="F284" s="1" t="s">
        <v>309</v>
      </c>
      <c r="G284" s="1" t="s">
        <v>310</v>
      </c>
      <c r="H284" s="1" t="s">
        <v>78</v>
      </c>
      <c r="I284" s="1" t="s">
        <v>31</v>
      </c>
      <c r="J284">
        <v>5</v>
      </c>
      <c r="K284">
        <v>141.44</v>
      </c>
      <c r="L284">
        <v>389.5</v>
      </c>
      <c r="M284">
        <v>707.2</v>
      </c>
      <c r="N284">
        <v>317.70000000000005</v>
      </c>
      <c r="O284" s="1" t="s">
        <v>47</v>
      </c>
      <c r="P284" s="1" t="s">
        <v>171</v>
      </c>
      <c r="Q284">
        <v>6</v>
      </c>
    </row>
    <row r="285" spans="1:17" x14ac:dyDescent="0.25">
      <c r="A285" s="1" t="s">
        <v>685</v>
      </c>
      <c r="B285" s="2">
        <v>46387</v>
      </c>
      <c r="C285">
        <v>2026</v>
      </c>
      <c r="D285" s="1" t="s">
        <v>307</v>
      </c>
      <c r="E285" s="1" t="s">
        <v>214</v>
      </c>
      <c r="F285" s="1" t="s">
        <v>329</v>
      </c>
      <c r="G285" s="1" t="s">
        <v>330</v>
      </c>
      <c r="H285" s="1" t="s">
        <v>78</v>
      </c>
      <c r="I285" s="1" t="s">
        <v>60</v>
      </c>
      <c r="J285">
        <v>3</v>
      </c>
      <c r="K285">
        <v>340.16</v>
      </c>
      <c r="L285">
        <v>751.38</v>
      </c>
      <c r="M285">
        <v>1020.48</v>
      </c>
      <c r="N285">
        <v>269.10000000000002</v>
      </c>
      <c r="O285" s="1" t="s">
        <v>52</v>
      </c>
      <c r="P285" s="1" t="s">
        <v>67</v>
      </c>
      <c r="Q285">
        <v>12</v>
      </c>
    </row>
    <row r="286" spans="1:17" x14ac:dyDescent="0.25">
      <c r="A286" s="1" t="s">
        <v>686</v>
      </c>
      <c r="B286" s="2">
        <v>46160</v>
      </c>
      <c r="C286">
        <v>2026</v>
      </c>
      <c r="D286" s="1" t="s">
        <v>255</v>
      </c>
      <c r="E286" s="1" t="s">
        <v>687</v>
      </c>
      <c r="F286" s="1" t="s">
        <v>294</v>
      </c>
      <c r="G286" s="1" t="s">
        <v>295</v>
      </c>
      <c r="H286" s="1" t="s">
        <v>236</v>
      </c>
      <c r="I286" s="1" t="s">
        <v>60</v>
      </c>
      <c r="J286">
        <v>16</v>
      </c>
      <c r="K286">
        <v>466.31</v>
      </c>
      <c r="L286">
        <v>4242.78</v>
      </c>
      <c r="M286">
        <v>7460.96</v>
      </c>
      <c r="N286">
        <v>3218.1800000000003</v>
      </c>
      <c r="O286" s="1" t="s">
        <v>47</v>
      </c>
      <c r="P286" s="1" t="s">
        <v>92</v>
      </c>
      <c r="Q286">
        <v>5</v>
      </c>
    </row>
    <row r="287" spans="1:17" x14ac:dyDescent="0.25">
      <c r="A287" s="1" t="s">
        <v>688</v>
      </c>
      <c r="B287" s="2">
        <v>46067</v>
      </c>
      <c r="C287">
        <v>2026</v>
      </c>
      <c r="D287" s="1" t="s">
        <v>378</v>
      </c>
      <c r="E287" s="1" t="s">
        <v>285</v>
      </c>
      <c r="F287" s="1" t="s">
        <v>169</v>
      </c>
      <c r="G287" s="1" t="s">
        <v>170</v>
      </c>
      <c r="H287" s="1" t="s">
        <v>78</v>
      </c>
      <c r="I287" s="1" t="s">
        <v>23</v>
      </c>
      <c r="J287">
        <v>8</v>
      </c>
      <c r="K287">
        <v>177.66</v>
      </c>
      <c r="L287">
        <v>771.7</v>
      </c>
      <c r="M287">
        <v>1421.28</v>
      </c>
      <c r="N287">
        <v>649.57999999999993</v>
      </c>
      <c r="O287" s="1" t="s">
        <v>32</v>
      </c>
      <c r="P287" s="1" t="s">
        <v>84</v>
      </c>
      <c r="Q287">
        <v>2</v>
      </c>
    </row>
    <row r="288" spans="1:17" x14ac:dyDescent="0.25">
      <c r="A288" s="1" t="s">
        <v>689</v>
      </c>
      <c r="B288" s="2">
        <v>46282</v>
      </c>
      <c r="C288">
        <v>2026</v>
      </c>
      <c r="D288" s="1" t="s">
        <v>653</v>
      </c>
      <c r="E288" s="1" t="s">
        <v>313</v>
      </c>
      <c r="F288" s="1" t="s">
        <v>197</v>
      </c>
      <c r="G288" s="1" t="s">
        <v>198</v>
      </c>
      <c r="H288" s="1" t="s">
        <v>59</v>
      </c>
      <c r="I288" s="1" t="s">
        <v>23</v>
      </c>
      <c r="J288">
        <v>12</v>
      </c>
      <c r="K288">
        <v>302.52999999999997</v>
      </c>
      <c r="L288">
        <v>2714.93</v>
      </c>
      <c r="M288">
        <v>3630.3599999999997</v>
      </c>
      <c r="N288">
        <v>915.42999999999984</v>
      </c>
      <c r="O288" s="1" t="s">
        <v>24</v>
      </c>
      <c r="P288" s="1" t="s">
        <v>61</v>
      </c>
      <c r="Q288">
        <v>9</v>
      </c>
    </row>
    <row r="289" spans="1:17" x14ac:dyDescent="0.25">
      <c r="A289" s="1" t="s">
        <v>690</v>
      </c>
      <c r="B289" s="2">
        <v>46096</v>
      </c>
      <c r="C289">
        <v>2026</v>
      </c>
      <c r="D289" s="1" t="s">
        <v>568</v>
      </c>
      <c r="E289" s="1" t="s">
        <v>566</v>
      </c>
      <c r="F289" s="1" t="s">
        <v>154</v>
      </c>
      <c r="G289" s="1" t="s">
        <v>155</v>
      </c>
      <c r="H289" s="1" t="s">
        <v>22</v>
      </c>
      <c r="I289" s="1" t="s">
        <v>23</v>
      </c>
      <c r="J289">
        <v>18</v>
      </c>
      <c r="K289">
        <v>159.83000000000001</v>
      </c>
      <c r="L289">
        <v>2395.36</v>
      </c>
      <c r="M289">
        <v>2876.94</v>
      </c>
      <c r="N289">
        <v>481.57999999999993</v>
      </c>
      <c r="O289" s="1" t="s">
        <v>32</v>
      </c>
      <c r="P289" s="1" t="s">
        <v>88</v>
      </c>
      <c r="Q289">
        <v>3</v>
      </c>
    </row>
    <row r="290" spans="1:17" x14ac:dyDescent="0.25">
      <c r="A290" s="1" t="s">
        <v>691</v>
      </c>
      <c r="B290" s="2">
        <v>46338</v>
      </c>
      <c r="C290">
        <v>2026</v>
      </c>
      <c r="D290" s="1" t="s">
        <v>368</v>
      </c>
      <c r="E290" s="1" t="s">
        <v>638</v>
      </c>
      <c r="F290" s="1" t="s">
        <v>169</v>
      </c>
      <c r="G290" s="1" t="s">
        <v>170</v>
      </c>
      <c r="H290" s="1" t="s">
        <v>78</v>
      </c>
      <c r="I290" s="1" t="s">
        <v>31</v>
      </c>
      <c r="J290">
        <v>7</v>
      </c>
      <c r="K290">
        <v>413.69</v>
      </c>
      <c r="L290">
        <v>1970.34</v>
      </c>
      <c r="M290">
        <v>2895.83</v>
      </c>
      <c r="N290">
        <v>925.49</v>
      </c>
      <c r="O290" s="1" t="s">
        <v>52</v>
      </c>
      <c r="P290" s="1" t="s">
        <v>134</v>
      </c>
      <c r="Q290">
        <v>11</v>
      </c>
    </row>
    <row r="291" spans="1:17" x14ac:dyDescent="0.25">
      <c r="A291" s="1" t="s">
        <v>692</v>
      </c>
      <c r="B291" s="2">
        <v>46309</v>
      </c>
      <c r="C291">
        <v>2026</v>
      </c>
      <c r="D291" s="1" t="s">
        <v>378</v>
      </c>
      <c r="E291" s="1" t="s">
        <v>64</v>
      </c>
      <c r="F291" s="1" t="s">
        <v>333</v>
      </c>
      <c r="G291" s="1" t="s">
        <v>334</v>
      </c>
      <c r="H291" s="1" t="s">
        <v>22</v>
      </c>
      <c r="I291" s="1" t="s">
        <v>46</v>
      </c>
      <c r="J291">
        <v>20</v>
      </c>
      <c r="K291">
        <v>334.19</v>
      </c>
      <c r="L291">
        <v>3852.72</v>
      </c>
      <c r="M291">
        <v>6683.8</v>
      </c>
      <c r="N291">
        <v>2831.0800000000004</v>
      </c>
      <c r="O291" s="1" t="s">
        <v>52</v>
      </c>
      <c r="P291" s="1" t="s">
        <v>53</v>
      </c>
      <c r="Q291">
        <v>10</v>
      </c>
    </row>
    <row r="292" spans="1:17" x14ac:dyDescent="0.25">
      <c r="A292" s="1" t="s">
        <v>693</v>
      </c>
      <c r="B292" s="2">
        <v>46194</v>
      </c>
      <c r="C292">
        <v>2026</v>
      </c>
      <c r="D292" s="1" t="s">
        <v>157</v>
      </c>
      <c r="E292" s="1" t="s">
        <v>188</v>
      </c>
      <c r="F292" s="1" t="s">
        <v>231</v>
      </c>
      <c r="G292" s="1" t="s">
        <v>232</v>
      </c>
      <c r="H292" s="1" t="s">
        <v>59</v>
      </c>
      <c r="I292" s="1" t="s">
        <v>23</v>
      </c>
      <c r="J292">
        <v>3</v>
      </c>
      <c r="K292">
        <v>391.07</v>
      </c>
      <c r="L292">
        <v>934.36</v>
      </c>
      <c r="M292">
        <v>1173.21</v>
      </c>
      <c r="N292">
        <v>238.85000000000002</v>
      </c>
      <c r="O292" s="1" t="s">
        <v>47</v>
      </c>
      <c r="P292" s="1" t="s">
        <v>171</v>
      </c>
      <c r="Q292">
        <v>6</v>
      </c>
    </row>
    <row r="293" spans="1:17" x14ac:dyDescent="0.25">
      <c r="A293" s="1" t="s">
        <v>694</v>
      </c>
      <c r="B293" s="2">
        <v>46056</v>
      </c>
      <c r="C293">
        <v>2026</v>
      </c>
      <c r="D293" s="1" t="s">
        <v>307</v>
      </c>
      <c r="E293" s="1" t="s">
        <v>188</v>
      </c>
      <c r="F293" s="1" t="s">
        <v>37</v>
      </c>
      <c r="G293" s="1" t="s">
        <v>38</v>
      </c>
      <c r="H293" s="1" t="s">
        <v>39</v>
      </c>
      <c r="I293" s="1" t="s">
        <v>60</v>
      </c>
      <c r="J293">
        <v>19</v>
      </c>
      <c r="K293">
        <v>205.8</v>
      </c>
      <c r="L293">
        <v>2989.97</v>
      </c>
      <c r="M293">
        <v>3910.2000000000003</v>
      </c>
      <c r="N293">
        <v>920.23000000000047</v>
      </c>
      <c r="O293" s="1" t="s">
        <v>32</v>
      </c>
      <c r="P293" s="1" t="s">
        <v>84</v>
      </c>
      <c r="Q293">
        <v>2</v>
      </c>
    </row>
    <row r="294" spans="1:17" x14ac:dyDescent="0.25">
      <c r="A294" s="1" t="s">
        <v>695</v>
      </c>
      <c r="B294" s="2">
        <v>46055</v>
      </c>
      <c r="C294">
        <v>2026</v>
      </c>
      <c r="D294" s="1" t="s">
        <v>514</v>
      </c>
      <c r="E294" s="1" t="s">
        <v>244</v>
      </c>
      <c r="F294" s="1" t="s">
        <v>257</v>
      </c>
      <c r="G294" s="1" t="s">
        <v>258</v>
      </c>
      <c r="H294" s="1" t="s">
        <v>39</v>
      </c>
      <c r="I294" s="1" t="s">
        <v>60</v>
      </c>
      <c r="J294">
        <v>10</v>
      </c>
      <c r="K294">
        <v>369.11</v>
      </c>
      <c r="L294">
        <v>2725.92</v>
      </c>
      <c r="M294">
        <v>3691.1000000000004</v>
      </c>
      <c r="N294">
        <v>965.18000000000029</v>
      </c>
      <c r="O294" s="1" t="s">
        <v>32</v>
      </c>
      <c r="P294" s="1" t="s">
        <v>84</v>
      </c>
      <c r="Q294">
        <v>2</v>
      </c>
    </row>
    <row r="295" spans="1:17" x14ac:dyDescent="0.25">
      <c r="A295" s="1" t="s">
        <v>696</v>
      </c>
      <c r="B295" s="2">
        <v>46027</v>
      </c>
      <c r="C295">
        <v>2026</v>
      </c>
      <c r="D295" s="1" t="s">
        <v>697</v>
      </c>
      <c r="E295" s="1" t="s">
        <v>201</v>
      </c>
      <c r="F295" s="1" t="s">
        <v>339</v>
      </c>
      <c r="G295" s="1" t="s">
        <v>340</v>
      </c>
      <c r="H295" s="1" t="s">
        <v>78</v>
      </c>
      <c r="I295" s="1" t="s">
        <v>60</v>
      </c>
      <c r="J295">
        <v>19</v>
      </c>
      <c r="K295">
        <v>299.12</v>
      </c>
      <c r="L295">
        <v>3492.09</v>
      </c>
      <c r="M295">
        <v>5683.28</v>
      </c>
      <c r="N295">
        <v>2191.1899999999996</v>
      </c>
      <c r="O295" s="1" t="s">
        <v>32</v>
      </c>
      <c r="P295" s="1" t="s">
        <v>33</v>
      </c>
      <c r="Q295">
        <v>1</v>
      </c>
    </row>
    <row r="296" spans="1:17" x14ac:dyDescent="0.25">
      <c r="A296" s="1" t="s">
        <v>698</v>
      </c>
      <c r="B296" s="2">
        <v>46028</v>
      </c>
      <c r="C296">
        <v>2026</v>
      </c>
      <c r="D296" s="1" t="s">
        <v>113</v>
      </c>
      <c r="E296" s="1" t="s">
        <v>114</v>
      </c>
      <c r="F296" s="1" t="s">
        <v>179</v>
      </c>
      <c r="G296" s="1" t="s">
        <v>180</v>
      </c>
      <c r="H296" s="1" t="s">
        <v>78</v>
      </c>
      <c r="I296" s="1" t="s">
        <v>46</v>
      </c>
      <c r="J296">
        <v>7</v>
      </c>
      <c r="K296">
        <v>87.34</v>
      </c>
      <c r="L296">
        <v>471.19</v>
      </c>
      <c r="M296">
        <v>611.38</v>
      </c>
      <c r="N296">
        <v>140.19</v>
      </c>
      <c r="O296" s="1" t="s">
        <v>32</v>
      </c>
      <c r="P296" s="1" t="s">
        <v>33</v>
      </c>
      <c r="Q296">
        <v>1</v>
      </c>
    </row>
    <row r="297" spans="1:17" x14ac:dyDescent="0.25">
      <c r="A297" s="1" t="s">
        <v>699</v>
      </c>
      <c r="B297" s="2">
        <v>46278</v>
      </c>
      <c r="C297">
        <v>2026</v>
      </c>
      <c r="D297" s="1" t="s">
        <v>263</v>
      </c>
      <c r="E297" s="1" t="s">
        <v>396</v>
      </c>
      <c r="F297" s="1" t="s">
        <v>206</v>
      </c>
      <c r="G297" s="1" t="s">
        <v>207</v>
      </c>
      <c r="H297" s="1" t="s">
        <v>39</v>
      </c>
      <c r="I297" s="1" t="s">
        <v>31</v>
      </c>
      <c r="J297">
        <v>18</v>
      </c>
      <c r="K297">
        <v>370.66</v>
      </c>
      <c r="L297">
        <v>4797.7299999999996</v>
      </c>
      <c r="M297">
        <v>6671.88</v>
      </c>
      <c r="N297">
        <v>1874.1500000000005</v>
      </c>
      <c r="O297" s="1" t="s">
        <v>24</v>
      </c>
      <c r="P297" s="1" t="s">
        <v>61</v>
      </c>
      <c r="Q297">
        <v>9</v>
      </c>
    </row>
    <row r="298" spans="1:17" x14ac:dyDescent="0.25">
      <c r="A298" s="1" t="s">
        <v>700</v>
      </c>
      <c r="B298" s="2">
        <v>46144</v>
      </c>
      <c r="C298">
        <v>2026</v>
      </c>
      <c r="D298" s="1" t="s">
        <v>297</v>
      </c>
      <c r="E298" s="1" t="s">
        <v>104</v>
      </c>
      <c r="F298" s="1" t="s">
        <v>329</v>
      </c>
      <c r="G298" s="1" t="s">
        <v>330</v>
      </c>
      <c r="H298" s="1" t="s">
        <v>78</v>
      </c>
      <c r="I298" s="1" t="s">
        <v>46</v>
      </c>
      <c r="J298">
        <v>12</v>
      </c>
      <c r="K298">
        <v>418.73</v>
      </c>
      <c r="L298">
        <v>3148.06</v>
      </c>
      <c r="M298">
        <v>5024.76</v>
      </c>
      <c r="N298">
        <v>1876.7000000000003</v>
      </c>
      <c r="O298" s="1" t="s">
        <v>47</v>
      </c>
      <c r="P298" s="1" t="s">
        <v>92</v>
      </c>
      <c r="Q298">
        <v>5</v>
      </c>
    </row>
    <row r="299" spans="1:17" x14ac:dyDescent="0.25">
      <c r="A299" s="1" t="s">
        <v>701</v>
      </c>
      <c r="B299" s="2">
        <v>46362</v>
      </c>
      <c r="C299">
        <v>2026</v>
      </c>
      <c r="D299" s="1" t="s">
        <v>524</v>
      </c>
      <c r="E299" s="1" t="s">
        <v>451</v>
      </c>
      <c r="F299" s="1" t="s">
        <v>202</v>
      </c>
      <c r="G299" s="1" t="s">
        <v>203</v>
      </c>
      <c r="H299" s="1" t="s">
        <v>111</v>
      </c>
      <c r="I299" s="1" t="s">
        <v>31</v>
      </c>
      <c r="J299">
        <v>13</v>
      </c>
      <c r="K299">
        <v>457.43</v>
      </c>
      <c r="L299">
        <v>4314.84</v>
      </c>
      <c r="M299">
        <v>5946.59</v>
      </c>
      <c r="N299">
        <v>1631.75</v>
      </c>
      <c r="O299" s="1" t="s">
        <v>52</v>
      </c>
      <c r="P299" s="1" t="s">
        <v>67</v>
      </c>
      <c r="Q299">
        <v>12</v>
      </c>
    </row>
    <row r="300" spans="1:17" x14ac:dyDescent="0.25">
      <c r="A300" s="1" t="s">
        <v>702</v>
      </c>
      <c r="B300" s="2">
        <v>46039</v>
      </c>
      <c r="C300">
        <v>2026</v>
      </c>
      <c r="D300" s="1" t="s">
        <v>353</v>
      </c>
      <c r="E300" s="1" t="s">
        <v>703</v>
      </c>
      <c r="F300" s="1" t="s">
        <v>65</v>
      </c>
      <c r="G300" s="1" t="s">
        <v>66</v>
      </c>
      <c r="H300" s="1" t="s">
        <v>59</v>
      </c>
      <c r="I300" s="1" t="s">
        <v>46</v>
      </c>
      <c r="J300">
        <v>18</v>
      </c>
      <c r="K300">
        <v>382.03</v>
      </c>
      <c r="L300">
        <v>4363.03</v>
      </c>
      <c r="M300">
        <v>6876.5399999999991</v>
      </c>
      <c r="N300">
        <v>2513.5099999999993</v>
      </c>
      <c r="O300" s="1" t="s">
        <v>32</v>
      </c>
      <c r="P300" s="1" t="s">
        <v>33</v>
      </c>
      <c r="Q300">
        <v>1</v>
      </c>
    </row>
    <row r="301" spans="1:17" x14ac:dyDescent="0.25">
      <c r="A301" s="1" t="s">
        <v>704</v>
      </c>
      <c r="B301" s="2">
        <v>46202</v>
      </c>
      <c r="C301">
        <v>2026</v>
      </c>
      <c r="D301" s="1" t="s">
        <v>55</v>
      </c>
      <c r="E301" s="1" t="s">
        <v>95</v>
      </c>
      <c r="F301" s="1" t="s">
        <v>533</v>
      </c>
      <c r="G301" s="1" t="s">
        <v>534</v>
      </c>
      <c r="H301" s="1" t="s">
        <v>236</v>
      </c>
      <c r="I301" s="1" t="s">
        <v>23</v>
      </c>
      <c r="J301">
        <v>20</v>
      </c>
      <c r="K301">
        <v>320.75</v>
      </c>
      <c r="L301">
        <v>4451.79</v>
      </c>
      <c r="M301">
        <v>6415</v>
      </c>
      <c r="N301">
        <v>1963.21</v>
      </c>
      <c r="O301" s="1" t="s">
        <v>47</v>
      </c>
      <c r="P301" s="1" t="s">
        <v>171</v>
      </c>
      <c r="Q301">
        <v>6</v>
      </c>
    </row>
    <row r="302" spans="1:17" x14ac:dyDescent="0.25">
      <c r="A302" s="1" t="s">
        <v>705</v>
      </c>
      <c r="B302" s="2">
        <v>46040</v>
      </c>
      <c r="C302">
        <v>2026</v>
      </c>
      <c r="D302" s="1" t="s">
        <v>243</v>
      </c>
      <c r="E302" s="1" t="s">
        <v>706</v>
      </c>
      <c r="F302" s="1" t="s">
        <v>410</v>
      </c>
      <c r="G302" s="1" t="s">
        <v>411</v>
      </c>
      <c r="H302" s="1" t="s">
        <v>78</v>
      </c>
      <c r="I302" s="1" t="s">
        <v>46</v>
      </c>
      <c r="J302">
        <v>17</v>
      </c>
      <c r="K302">
        <v>136.94</v>
      </c>
      <c r="L302">
        <v>1848.14</v>
      </c>
      <c r="M302">
        <v>2327.98</v>
      </c>
      <c r="N302">
        <v>479.83999999999992</v>
      </c>
      <c r="O302" s="1" t="s">
        <v>32</v>
      </c>
      <c r="P302" s="1" t="s">
        <v>33</v>
      </c>
      <c r="Q302">
        <v>1</v>
      </c>
    </row>
    <row r="303" spans="1:17" x14ac:dyDescent="0.25">
      <c r="A303" s="1" t="s">
        <v>707</v>
      </c>
      <c r="B303" s="2">
        <v>46356</v>
      </c>
      <c r="C303">
        <v>2026</v>
      </c>
      <c r="D303" s="1" t="s">
        <v>395</v>
      </c>
      <c r="E303" s="1" t="s">
        <v>537</v>
      </c>
      <c r="F303" s="1" t="s">
        <v>90</v>
      </c>
      <c r="G303" s="1" t="s">
        <v>91</v>
      </c>
      <c r="H303" s="1" t="s">
        <v>22</v>
      </c>
      <c r="I303" s="1" t="s">
        <v>46</v>
      </c>
      <c r="J303">
        <v>4</v>
      </c>
      <c r="K303">
        <v>414.65</v>
      </c>
      <c r="L303">
        <v>1069.78</v>
      </c>
      <c r="M303">
        <v>1658.6</v>
      </c>
      <c r="N303">
        <v>588.81999999999994</v>
      </c>
      <c r="O303" s="1" t="s">
        <v>52</v>
      </c>
      <c r="P303" s="1" t="s">
        <v>134</v>
      </c>
      <c r="Q303">
        <v>11</v>
      </c>
    </row>
    <row r="304" spans="1:17" x14ac:dyDescent="0.25">
      <c r="A304" s="1" t="s">
        <v>708</v>
      </c>
      <c r="B304" s="2">
        <v>46383</v>
      </c>
      <c r="C304">
        <v>2026</v>
      </c>
      <c r="D304" s="1" t="s">
        <v>238</v>
      </c>
      <c r="E304" s="1" t="s">
        <v>114</v>
      </c>
      <c r="F304" s="1" t="s">
        <v>245</v>
      </c>
      <c r="G304" s="1" t="s">
        <v>246</v>
      </c>
      <c r="H304" s="1" t="s">
        <v>39</v>
      </c>
      <c r="I304" s="1" t="s">
        <v>31</v>
      </c>
      <c r="J304">
        <v>5</v>
      </c>
      <c r="K304">
        <v>456.79</v>
      </c>
      <c r="L304">
        <v>1831.54</v>
      </c>
      <c r="M304">
        <v>2283.9500000000003</v>
      </c>
      <c r="N304">
        <v>452.41000000000031</v>
      </c>
      <c r="O304" s="1" t="s">
        <v>52</v>
      </c>
      <c r="P304" s="1" t="s">
        <v>67</v>
      </c>
      <c r="Q304">
        <v>12</v>
      </c>
    </row>
    <row r="305" spans="1:17" x14ac:dyDescent="0.25">
      <c r="A305" s="1" t="s">
        <v>709</v>
      </c>
      <c r="B305" s="2">
        <v>46136</v>
      </c>
      <c r="C305">
        <v>2026</v>
      </c>
      <c r="D305" s="1" t="s">
        <v>263</v>
      </c>
      <c r="E305" s="1" t="s">
        <v>710</v>
      </c>
      <c r="F305" s="1" t="s">
        <v>257</v>
      </c>
      <c r="G305" s="1" t="s">
        <v>258</v>
      </c>
      <c r="H305" s="1" t="s">
        <v>39</v>
      </c>
      <c r="I305" s="1" t="s">
        <v>60</v>
      </c>
      <c r="J305">
        <v>6</v>
      </c>
      <c r="K305">
        <v>258.42</v>
      </c>
      <c r="L305">
        <v>854.97</v>
      </c>
      <c r="M305">
        <v>1550.52</v>
      </c>
      <c r="N305">
        <v>695.55</v>
      </c>
      <c r="O305" s="1" t="s">
        <v>47</v>
      </c>
      <c r="P305" s="1" t="s">
        <v>48</v>
      </c>
      <c r="Q305">
        <v>4</v>
      </c>
    </row>
    <row r="306" spans="1:17" x14ac:dyDescent="0.25">
      <c r="A306" s="1" t="s">
        <v>711</v>
      </c>
      <c r="B306" s="2">
        <v>46067</v>
      </c>
      <c r="C306">
        <v>2026</v>
      </c>
      <c r="D306" s="1" t="s">
        <v>443</v>
      </c>
      <c r="E306" s="1" t="s">
        <v>712</v>
      </c>
      <c r="F306" s="1" t="s">
        <v>206</v>
      </c>
      <c r="G306" s="1" t="s">
        <v>207</v>
      </c>
      <c r="H306" s="1" t="s">
        <v>39</v>
      </c>
      <c r="I306" s="1" t="s">
        <v>31</v>
      </c>
      <c r="J306">
        <v>4</v>
      </c>
      <c r="K306">
        <v>395.98</v>
      </c>
      <c r="L306">
        <v>1183.24</v>
      </c>
      <c r="M306">
        <v>1583.92</v>
      </c>
      <c r="N306">
        <v>400.68000000000006</v>
      </c>
      <c r="O306" s="1" t="s">
        <v>32</v>
      </c>
      <c r="P306" s="1" t="s">
        <v>84</v>
      </c>
      <c r="Q306">
        <v>2</v>
      </c>
    </row>
    <row r="307" spans="1:17" x14ac:dyDescent="0.25">
      <c r="A307" s="1" t="s">
        <v>713</v>
      </c>
      <c r="B307" s="2">
        <v>46248</v>
      </c>
      <c r="C307">
        <v>2026</v>
      </c>
      <c r="D307" s="1" t="s">
        <v>281</v>
      </c>
      <c r="E307" s="1" t="s">
        <v>205</v>
      </c>
      <c r="F307" s="1" t="s">
        <v>399</v>
      </c>
      <c r="G307" s="1" t="s">
        <v>400</v>
      </c>
      <c r="H307" s="1" t="s">
        <v>236</v>
      </c>
      <c r="I307" s="1" t="s">
        <v>46</v>
      </c>
      <c r="J307">
        <v>7</v>
      </c>
      <c r="K307">
        <v>71.67</v>
      </c>
      <c r="L307">
        <v>406.51</v>
      </c>
      <c r="M307">
        <v>501.69</v>
      </c>
      <c r="N307">
        <v>95.18</v>
      </c>
      <c r="O307" s="1" t="s">
        <v>24</v>
      </c>
      <c r="P307" s="1" t="s">
        <v>101</v>
      </c>
      <c r="Q307">
        <v>8</v>
      </c>
    </row>
    <row r="308" spans="1:17" x14ac:dyDescent="0.25">
      <c r="A308" s="1" t="s">
        <v>714</v>
      </c>
      <c r="B308" s="2">
        <v>46161</v>
      </c>
      <c r="C308">
        <v>2026</v>
      </c>
      <c r="D308" s="1" t="s">
        <v>238</v>
      </c>
      <c r="E308" s="1" t="s">
        <v>226</v>
      </c>
      <c r="F308" s="1" t="s">
        <v>440</v>
      </c>
      <c r="G308" s="1" t="s">
        <v>441</v>
      </c>
      <c r="H308" s="1" t="s">
        <v>45</v>
      </c>
      <c r="I308" s="1" t="s">
        <v>60</v>
      </c>
      <c r="J308">
        <v>5</v>
      </c>
      <c r="K308">
        <v>51.84</v>
      </c>
      <c r="L308">
        <v>162.15</v>
      </c>
      <c r="M308">
        <v>259.20000000000005</v>
      </c>
      <c r="N308">
        <v>97.05000000000004</v>
      </c>
      <c r="O308" s="1" t="s">
        <v>47</v>
      </c>
      <c r="P308" s="1" t="s">
        <v>92</v>
      </c>
      <c r="Q308">
        <v>5</v>
      </c>
    </row>
    <row r="309" spans="1:17" x14ac:dyDescent="0.25">
      <c r="A309" s="1" t="s">
        <v>715</v>
      </c>
      <c r="B309" s="2">
        <v>46210</v>
      </c>
      <c r="C309">
        <v>2026</v>
      </c>
      <c r="D309" s="1" t="s">
        <v>219</v>
      </c>
      <c r="E309" s="1" t="s">
        <v>716</v>
      </c>
      <c r="F309" s="1" t="s">
        <v>197</v>
      </c>
      <c r="G309" s="1" t="s">
        <v>198</v>
      </c>
      <c r="H309" s="1" t="s">
        <v>59</v>
      </c>
      <c r="I309" s="1" t="s">
        <v>60</v>
      </c>
      <c r="J309">
        <v>7</v>
      </c>
      <c r="K309">
        <v>30.89</v>
      </c>
      <c r="L309">
        <v>143.11000000000001</v>
      </c>
      <c r="M309">
        <v>216.23000000000002</v>
      </c>
      <c r="N309">
        <v>73.12</v>
      </c>
      <c r="O309" s="1" t="s">
        <v>24</v>
      </c>
      <c r="P309" s="1" t="s">
        <v>25</v>
      </c>
      <c r="Q309">
        <v>7</v>
      </c>
    </row>
    <row r="310" spans="1:17" x14ac:dyDescent="0.25">
      <c r="A310" s="1" t="s">
        <v>717</v>
      </c>
      <c r="B310" s="2">
        <v>46116</v>
      </c>
      <c r="C310">
        <v>2026</v>
      </c>
      <c r="D310" s="1" t="s">
        <v>514</v>
      </c>
      <c r="E310" s="1" t="s">
        <v>404</v>
      </c>
      <c r="F310" s="1" t="s">
        <v>164</v>
      </c>
      <c r="G310" s="1" t="s">
        <v>165</v>
      </c>
      <c r="H310" s="1" t="s">
        <v>22</v>
      </c>
      <c r="I310" s="1" t="s">
        <v>31</v>
      </c>
      <c r="J310">
        <v>11</v>
      </c>
      <c r="K310">
        <v>451.43</v>
      </c>
      <c r="L310">
        <v>3179.85</v>
      </c>
      <c r="M310">
        <v>4965.7300000000005</v>
      </c>
      <c r="N310">
        <v>1785.8800000000006</v>
      </c>
      <c r="O310" s="1" t="s">
        <v>47</v>
      </c>
      <c r="P310" s="1" t="s">
        <v>48</v>
      </c>
      <c r="Q310">
        <v>4</v>
      </c>
    </row>
    <row r="311" spans="1:17" x14ac:dyDescent="0.25">
      <c r="A311" s="1" t="s">
        <v>718</v>
      </c>
      <c r="B311" s="2">
        <v>46058</v>
      </c>
      <c r="C311">
        <v>2026</v>
      </c>
      <c r="D311" s="1" t="s">
        <v>225</v>
      </c>
      <c r="E311" s="1" t="s">
        <v>316</v>
      </c>
      <c r="F311" s="1" t="s">
        <v>175</v>
      </c>
      <c r="G311" s="1" t="s">
        <v>176</v>
      </c>
      <c r="H311" s="1" t="s">
        <v>59</v>
      </c>
      <c r="I311" s="1" t="s">
        <v>31</v>
      </c>
      <c r="J311">
        <v>11</v>
      </c>
      <c r="K311">
        <v>201.22</v>
      </c>
      <c r="L311">
        <v>1682.68</v>
      </c>
      <c r="M311">
        <v>2213.42</v>
      </c>
      <c r="N311">
        <v>530.74</v>
      </c>
      <c r="O311" s="1" t="s">
        <v>32</v>
      </c>
      <c r="P311" s="1" t="s">
        <v>84</v>
      </c>
      <c r="Q311">
        <v>2</v>
      </c>
    </row>
    <row r="312" spans="1:17" x14ac:dyDescent="0.25">
      <c r="A312" s="1" t="s">
        <v>719</v>
      </c>
      <c r="B312" s="2">
        <v>46229</v>
      </c>
      <c r="C312">
        <v>2026</v>
      </c>
      <c r="D312" s="1" t="s">
        <v>349</v>
      </c>
      <c r="E312" s="1" t="s">
        <v>555</v>
      </c>
      <c r="F312" s="1" t="s">
        <v>164</v>
      </c>
      <c r="G312" s="1" t="s">
        <v>165</v>
      </c>
      <c r="H312" s="1" t="s">
        <v>22</v>
      </c>
      <c r="I312" s="1" t="s">
        <v>31</v>
      </c>
      <c r="J312">
        <v>2</v>
      </c>
      <c r="K312">
        <v>216</v>
      </c>
      <c r="L312">
        <v>240.41</v>
      </c>
      <c r="M312">
        <v>432</v>
      </c>
      <c r="N312">
        <v>191.59</v>
      </c>
      <c r="O312" s="1" t="s">
        <v>24</v>
      </c>
      <c r="P312" s="1" t="s">
        <v>25</v>
      </c>
      <c r="Q312">
        <v>7</v>
      </c>
    </row>
    <row r="313" spans="1:17" x14ac:dyDescent="0.25">
      <c r="A313" s="1" t="s">
        <v>720</v>
      </c>
      <c r="B313" s="2">
        <v>46227</v>
      </c>
      <c r="C313">
        <v>2026</v>
      </c>
      <c r="D313" s="1" t="s">
        <v>300</v>
      </c>
      <c r="E313" s="1" t="s">
        <v>379</v>
      </c>
      <c r="F313" s="1" t="s">
        <v>189</v>
      </c>
      <c r="G313" s="1" t="s">
        <v>190</v>
      </c>
      <c r="H313" s="1" t="s">
        <v>22</v>
      </c>
      <c r="I313" s="1" t="s">
        <v>46</v>
      </c>
      <c r="J313">
        <v>9</v>
      </c>
      <c r="K313">
        <v>424.67</v>
      </c>
      <c r="L313">
        <v>2260.39</v>
      </c>
      <c r="M313">
        <v>3822.03</v>
      </c>
      <c r="N313">
        <v>1561.6400000000003</v>
      </c>
      <c r="O313" s="1" t="s">
        <v>24</v>
      </c>
      <c r="P313" s="1" t="s">
        <v>25</v>
      </c>
      <c r="Q313">
        <v>7</v>
      </c>
    </row>
    <row r="314" spans="1:17" x14ac:dyDescent="0.25">
      <c r="A314" s="1" t="s">
        <v>721</v>
      </c>
      <c r="B314" s="2">
        <v>46212</v>
      </c>
      <c r="C314">
        <v>2026</v>
      </c>
      <c r="D314" s="1" t="s">
        <v>722</v>
      </c>
      <c r="E314" s="1" t="s">
        <v>560</v>
      </c>
      <c r="F314" s="1" t="s">
        <v>159</v>
      </c>
      <c r="G314" s="1" t="s">
        <v>160</v>
      </c>
      <c r="H314" s="1" t="s">
        <v>111</v>
      </c>
      <c r="I314" s="1" t="s">
        <v>46</v>
      </c>
      <c r="J314">
        <v>9</v>
      </c>
      <c r="K314">
        <v>417.78</v>
      </c>
      <c r="L314">
        <v>2178.06</v>
      </c>
      <c r="M314">
        <v>3760.0199999999995</v>
      </c>
      <c r="N314">
        <v>1581.9599999999996</v>
      </c>
      <c r="O314" s="1" t="s">
        <v>24</v>
      </c>
      <c r="P314" s="1" t="s">
        <v>25</v>
      </c>
      <c r="Q314">
        <v>7</v>
      </c>
    </row>
    <row r="315" spans="1:17" x14ac:dyDescent="0.25">
      <c r="A315" s="1" t="s">
        <v>723</v>
      </c>
      <c r="B315" s="2">
        <v>46203</v>
      </c>
      <c r="C315">
        <v>2026</v>
      </c>
      <c r="D315" s="1" t="s">
        <v>55</v>
      </c>
      <c r="E315" s="1" t="s">
        <v>537</v>
      </c>
      <c r="F315" s="1" t="s">
        <v>96</v>
      </c>
      <c r="G315" s="1" t="s">
        <v>97</v>
      </c>
      <c r="H315" s="1" t="s">
        <v>39</v>
      </c>
      <c r="I315" s="1" t="s">
        <v>23</v>
      </c>
      <c r="J315">
        <v>3</v>
      </c>
      <c r="K315">
        <v>58.51</v>
      </c>
      <c r="L315">
        <v>126.1</v>
      </c>
      <c r="M315">
        <v>175.53</v>
      </c>
      <c r="N315">
        <v>49.430000000000007</v>
      </c>
      <c r="O315" s="1" t="s">
        <v>47</v>
      </c>
      <c r="P315" s="1" t="s">
        <v>171</v>
      </c>
      <c r="Q315">
        <v>6</v>
      </c>
    </row>
    <row r="316" spans="1:17" x14ac:dyDescent="0.25">
      <c r="A316" s="1" t="s">
        <v>724</v>
      </c>
      <c r="B316" s="2">
        <v>46230</v>
      </c>
      <c r="C316">
        <v>2026</v>
      </c>
      <c r="D316" s="1" t="s">
        <v>219</v>
      </c>
      <c r="E316" s="1" t="s">
        <v>429</v>
      </c>
      <c r="F316" s="1" t="s">
        <v>96</v>
      </c>
      <c r="G316" s="1" t="s">
        <v>97</v>
      </c>
      <c r="H316" s="1" t="s">
        <v>39</v>
      </c>
      <c r="I316" s="1" t="s">
        <v>46</v>
      </c>
      <c r="J316">
        <v>9</v>
      </c>
      <c r="K316">
        <v>209.61</v>
      </c>
      <c r="L316">
        <v>1224.8599999999999</v>
      </c>
      <c r="M316">
        <v>1886.4900000000002</v>
      </c>
      <c r="N316">
        <v>661.63000000000034</v>
      </c>
      <c r="O316" s="1" t="s">
        <v>24</v>
      </c>
      <c r="P316" s="1" t="s">
        <v>25</v>
      </c>
      <c r="Q316">
        <v>7</v>
      </c>
    </row>
    <row r="317" spans="1:17" x14ac:dyDescent="0.25">
      <c r="A317" s="1" t="s">
        <v>725</v>
      </c>
      <c r="B317" s="2">
        <v>46159</v>
      </c>
      <c r="C317">
        <v>2026</v>
      </c>
      <c r="D317" s="1" t="s">
        <v>27</v>
      </c>
      <c r="E317" s="1" t="s">
        <v>726</v>
      </c>
      <c r="F317" s="1" t="s">
        <v>257</v>
      </c>
      <c r="G317" s="1" t="s">
        <v>258</v>
      </c>
      <c r="H317" s="1" t="s">
        <v>39</v>
      </c>
      <c r="I317" s="1" t="s">
        <v>23</v>
      </c>
      <c r="J317">
        <v>18</v>
      </c>
      <c r="K317">
        <v>438.68</v>
      </c>
      <c r="L317">
        <v>5201</v>
      </c>
      <c r="M317">
        <v>7896.24</v>
      </c>
      <c r="N317">
        <v>2695.24</v>
      </c>
      <c r="O317" s="1" t="s">
        <v>47</v>
      </c>
      <c r="P317" s="1" t="s">
        <v>92</v>
      </c>
      <c r="Q317">
        <v>5</v>
      </c>
    </row>
    <row r="318" spans="1:17" x14ac:dyDescent="0.25">
      <c r="A318" s="1" t="s">
        <v>727</v>
      </c>
      <c r="B318" s="2">
        <v>46227</v>
      </c>
      <c r="C318">
        <v>2026</v>
      </c>
      <c r="D318" s="1" t="s">
        <v>462</v>
      </c>
      <c r="E318" s="1" t="s">
        <v>706</v>
      </c>
      <c r="F318" s="1" t="s">
        <v>294</v>
      </c>
      <c r="G318" s="1" t="s">
        <v>295</v>
      </c>
      <c r="H318" s="1" t="s">
        <v>236</v>
      </c>
      <c r="I318" s="1" t="s">
        <v>31</v>
      </c>
      <c r="J318">
        <v>15</v>
      </c>
      <c r="K318">
        <v>130.05000000000001</v>
      </c>
      <c r="L318">
        <v>1188.31</v>
      </c>
      <c r="M318">
        <v>1950.7500000000002</v>
      </c>
      <c r="N318">
        <v>762.44000000000028</v>
      </c>
      <c r="O318" s="1" t="s">
        <v>24</v>
      </c>
      <c r="P318" s="1" t="s">
        <v>25</v>
      </c>
      <c r="Q318">
        <v>7</v>
      </c>
    </row>
    <row r="319" spans="1:17" x14ac:dyDescent="0.25">
      <c r="A319" s="1" t="s">
        <v>728</v>
      </c>
      <c r="B319" s="2">
        <v>46264</v>
      </c>
      <c r="C319">
        <v>2026</v>
      </c>
      <c r="D319" s="1" t="s">
        <v>284</v>
      </c>
      <c r="E319" s="1" t="s">
        <v>626</v>
      </c>
      <c r="F319" s="1" t="s">
        <v>120</v>
      </c>
      <c r="G319" s="1" t="s">
        <v>121</v>
      </c>
      <c r="H319" s="1" t="s">
        <v>39</v>
      </c>
      <c r="I319" s="1" t="s">
        <v>46</v>
      </c>
      <c r="J319">
        <v>1</v>
      </c>
      <c r="K319">
        <v>437.87</v>
      </c>
      <c r="L319">
        <v>279.17</v>
      </c>
      <c r="M319">
        <v>437.87</v>
      </c>
      <c r="N319">
        <v>158.69999999999999</v>
      </c>
      <c r="O319" s="1" t="s">
        <v>24</v>
      </c>
      <c r="P319" s="1" t="s">
        <v>101</v>
      </c>
      <c r="Q319">
        <v>8</v>
      </c>
    </row>
    <row r="320" spans="1:17" x14ac:dyDescent="0.25">
      <c r="A320" s="1" t="s">
        <v>729</v>
      </c>
      <c r="B320" s="2">
        <v>46248</v>
      </c>
      <c r="C320">
        <v>2026</v>
      </c>
      <c r="D320" s="1" t="s">
        <v>157</v>
      </c>
      <c r="E320" s="1" t="s">
        <v>455</v>
      </c>
      <c r="F320" s="1" t="s">
        <v>71</v>
      </c>
      <c r="G320" s="1" t="s">
        <v>72</v>
      </c>
      <c r="H320" s="1" t="s">
        <v>22</v>
      </c>
      <c r="I320" s="1" t="s">
        <v>23</v>
      </c>
      <c r="J320">
        <v>1</v>
      </c>
      <c r="K320">
        <v>294.76</v>
      </c>
      <c r="L320">
        <v>220.96</v>
      </c>
      <c r="M320">
        <v>294.76</v>
      </c>
      <c r="N320">
        <v>73.799999999999983</v>
      </c>
      <c r="O320" s="1" t="s">
        <v>24</v>
      </c>
      <c r="P320" s="1" t="s">
        <v>101</v>
      </c>
      <c r="Q320">
        <v>8</v>
      </c>
    </row>
    <row r="321" spans="1:17" x14ac:dyDescent="0.25">
      <c r="A321" s="1" t="s">
        <v>730</v>
      </c>
      <c r="B321" s="2">
        <v>46160</v>
      </c>
      <c r="C321">
        <v>2026</v>
      </c>
      <c r="D321" s="1" t="s">
        <v>557</v>
      </c>
      <c r="E321" s="1" t="s">
        <v>647</v>
      </c>
      <c r="F321" s="1" t="s">
        <v>329</v>
      </c>
      <c r="G321" s="1" t="s">
        <v>330</v>
      </c>
      <c r="H321" s="1" t="s">
        <v>78</v>
      </c>
      <c r="I321" s="1" t="s">
        <v>23</v>
      </c>
      <c r="J321">
        <v>4</v>
      </c>
      <c r="K321">
        <v>120.81</v>
      </c>
      <c r="L321">
        <v>258.5</v>
      </c>
      <c r="M321">
        <v>483.24</v>
      </c>
      <c r="N321">
        <v>224.74</v>
      </c>
      <c r="O321" s="1" t="s">
        <v>47</v>
      </c>
      <c r="P321" s="1" t="s">
        <v>92</v>
      </c>
      <c r="Q321">
        <v>5</v>
      </c>
    </row>
    <row r="322" spans="1:17" x14ac:dyDescent="0.25">
      <c r="A322" s="1" t="s">
        <v>731</v>
      </c>
      <c r="B322" s="2">
        <v>46291</v>
      </c>
      <c r="C322">
        <v>2026</v>
      </c>
      <c r="D322" s="1" t="s">
        <v>575</v>
      </c>
      <c r="E322" s="1" t="s">
        <v>541</v>
      </c>
      <c r="F322" s="1" t="s">
        <v>71</v>
      </c>
      <c r="G322" s="1" t="s">
        <v>72</v>
      </c>
      <c r="H322" s="1" t="s">
        <v>22</v>
      </c>
      <c r="I322" s="1" t="s">
        <v>46</v>
      </c>
      <c r="J322">
        <v>16</v>
      </c>
      <c r="K322">
        <v>260.06</v>
      </c>
      <c r="L322">
        <v>2550.31</v>
      </c>
      <c r="M322">
        <v>4160.96</v>
      </c>
      <c r="N322">
        <v>1610.65</v>
      </c>
      <c r="O322" s="1" t="s">
        <v>24</v>
      </c>
      <c r="P322" s="1" t="s">
        <v>61</v>
      </c>
      <c r="Q322">
        <v>9</v>
      </c>
    </row>
    <row r="323" spans="1:17" x14ac:dyDescent="0.25">
      <c r="A323" s="1" t="s">
        <v>732</v>
      </c>
      <c r="B323" s="2">
        <v>46141</v>
      </c>
      <c r="C323">
        <v>2026</v>
      </c>
      <c r="D323" s="1" t="s">
        <v>152</v>
      </c>
      <c r="E323" s="1" t="s">
        <v>305</v>
      </c>
      <c r="F323" s="1" t="s">
        <v>185</v>
      </c>
      <c r="G323" s="1" t="s">
        <v>186</v>
      </c>
      <c r="H323" s="1" t="s">
        <v>22</v>
      </c>
      <c r="I323" s="1" t="s">
        <v>60</v>
      </c>
      <c r="J323">
        <v>20</v>
      </c>
      <c r="K323">
        <v>302.88</v>
      </c>
      <c r="L323">
        <v>4212.5200000000004</v>
      </c>
      <c r="M323">
        <v>6057.6</v>
      </c>
      <c r="N323">
        <v>1845.08</v>
      </c>
      <c r="O323" s="1" t="s">
        <v>47</v>
      </c>
      <c r="P323" s="1" t="s">
        <v>48</v>
      </c>
      <c r="Q323">
        <v>4</v>
      </c>
    </row>
    <row r="324" spans="1:17" x14ac:dyDescent="0.25">
      <c r="A324" s="1" t="s">
        <v>733</v>
      </c>
      <c r="B324" s="2">
        <v>46385</v>
      </c>
      <c r="C324">
        <v>2026</v>
      </c>
      <c r="D324" s="1" t="s">
        <v>629</v>
      </c>
      <c r="E324" s="1" t="s">
        <v>549</v>
      </c>
      <c r="F324" s="1" t="s">
        <v>189</v>
      </c>
      <c r="G324" s="1" t="s">
        <v>190</v>
      </c>
      <c r="H324" s="1" t="s">
        <v>22</v>
      </c>
      <c r="I324" s="1" t="s">
        <v>31</v>
      </c>
      <c r="J324">
        <v>11</v>
      </c>
      <c r="K324">
        <v>368.9</v>
      </c>
      <c r="L324">
        <v>2709.36</v>
      </c>
      <c r="M324">
        <v>4057.8999999999996</v>
      </c>
      <c r="N324">
        <v>1348.5399999999995</v>
      </c>
      <c r="O324" s="1" t="s">
        <v>52</v>
      </c>
      <c r="P324" s="1" t="s">
        <v>67</v>
      </c>
      <c r="Q324">
        <v>12</v>
      </c>
    </row>
    <row r="325" spans="1:17" x14ac:dyDescent="0.25">
      <c r="A325" s="1" t="s">
        <v>734</v>
      </c>
      <c r="B325" s="2">
        <v>46382</v>
      </c>
      <c r="C325">
        <v>2026</v>
      </c>
      <c r="D325" s="1" t="s">
        <v>173</v>
      </c>
      <c r="E325" s="1" t="s">
        <v>735</v>
      </c>
      <c r="F325" s="1" t="s">
        <v>189</v>
      </c>
      <c r="G325" s="1" t="s">
        <v>190</v>
      </c>
      <c r="H325" s="1" t="s">
        <v>22</v>
      </c>
      <c r="I325" s="1" t="s">
        <v>23</v>
      </c>
      <c r="J325">
        <v>12</v>
      </c>
      <c r="K325">
        <v>115.44</v>
      </c>
      <c r="L325">
        <v>1003.02</v>
      </c>
      <c r="M325">
        <v>1385.28</v>
      </c>
      <c r="N325">
        <v>382.26</v>
      </c>
      <c r="O325" s="1" t="s">
        <v>52</v>
      </c>
      <c r="P325" s="1" t="s">
        <v>67</v>
      </c>
      <c r="Q325">
        <v>12</v>
      </c>
    </row>
    <row r="326" spans="1:17" x14ac:dyDescent="0.25">
      <c r="A326" s="1" t="s">
        <v>736</v>
      </c>
      <c r="B326" s="2">
        <v>46306</v>
      </c>
      <c r="C326">
        <v>2026</v>
      </c>
      <c r="D326" s="1" t="s">
        <v>136</v>
      </c>
      <c r="E326" s="1" t="s">
        <v>512</v>
      </c>
      <c r="F326" s="1" t="s">
        <v>257</v>
      </c>
      <c r="G326" s="1" t="s">
        <v>258</v>
      </c>
      <c r="H326" s="1" t="s">
        <v>39</v>
      </c>
      <c r="I326" s="1" t="s">
        <v>60</v>
      </c>
      <c r="J326">
        <v>6</v>
      </c>
      <c r="K326">
        <v>349.4</v>
      </c>
      <c r="L326">
        <v>1226.68</v>
      </c>
      <c r="M326">
        <v>2096.3999999999996</v>
      </c>
      <c r="N326">
        <v>869.71999999999957</v>
      </c>
      <c r="O326" s="1" t="s">
        <v>52</v>
      </c>
      <c r="P326" s="1" t="s">
        <v>53</v>
      </c>
      <c r="Q326">
        <v>10</v>
      </c>
    </row>
    <row r="327" spans="1:17" x14ac:dyDescent="0.25">
      <c r="A327" s="1" t="s">
        <v>737</v>
      </c>
      <c r="B327" s="2">
        <v>46157</v>
      </c>
      <c r="C327">
        <v>2026</v>
      </c>
      <c r="D327" s="1" t="s">
        <v>722</v>
      </c>
      <c r="E327" s="1" t="s">
        <v>282</v>
      </c>
      <c r="F327" s="1" t="s">
        <v>533</v>
      </c>
      <c r="G327" s="1" t="s">
        <v>534</v>
      </c>
      <c r="H327" s="1" t="s">
        <v>236</v>
      </c>
      <c r="I327" s="1" t="s">
        <v>46</v>
      </c>
      <c r="J327">
        <v>3</v>
      </c>
      <c r="K327">
        <v>457.27</v>
      </c>
      <c r="L327">
        <v>894.8</v>
      </c>
      <c r="M327">
        <v>1371.81</v>
      </c>
      <c r="N327">
        <v>477.01</v>
      </c>
      <c r="O327" s="1" t="s">
        <v>47</v>
      </c>
      <c r="P327" s="1" t="s">
        <v>92</v>
      </c>
      <c r="Q327">
        <v>5</v>
      </c>
    </row>
    <row r="328" spans="1:17" x14ac:dyDescent="0.25">
      <c r="A328" s="1" t="s">
        <v>738</v>
      </c>
      <c r="B328" s="2">
        <v>46377</v>
      </c>
      <c r="C328">
        <v>2026</v>
      </c>
      <c r="D328" s="1" t="s">
        <v>162</v>
      </c>
      <c r="E328" s="1" t="s">
        <v>739</v>
      </c>
      <c r="F328" s="1" t="s">
        <v>231</v>
      </c>
      <c r="G328" s="1" t="s">
        <v>232</v>
      </c>
      <c r="H328" s="1" t="s">
        <v>59</v>
      </c>
      <c r="I328" s="1" t="s">
        <v>23</v>
      </c>
      <c r="J328">
        <v>17</v>
      </c>
      <c r="K328">
        <v>359</v>
      </c>
      <c r="L328">
        <v>3402.63</v>
      </c>
      <c r="M328">
        <v>6103</v>
      </c>
      <c r="N328">
        <v>2700.37</v>
      </c>
      <c r="O328" s="1" t="s">
        <v>52</v>
      </c>
      <c r="P328" s="1" t="s">
        <v>67</v>
      </c>
      <c r="Q328">
        <v>12</v>
      </c>
    </row>
    <row r="329" spans="1:17" x14ac:dyDescent="0.25">
      <c r="A329" s="1" t="s">
        <v>740</v>
      </c>
      <c r="B329" s="2">
        <v>46283</v>
      </c>
      <c r="C329">
        <v>2026</v>
      </c>
      <c r="D329" s="1" t="s">
        <v>676</v>
      </c>
      <c r="E329" s="1" t="s">
        <v>520</v>
      </c>
      <c r="F329" s="1" t="s">
        <v>169</v>
      </c>
      <c r="G329" s="1" t="s">
        <v>170</v>
      </c>
      <c r="H329" s="1" t="s">
        <v>78</v>
      </c>
      <c r="I329" s="1" t="s">
        <v>46</v>
      </c>
      <c r="J329">
        <v>10</v>
      </c>
      <c r="K329">
        <v>230.58</v>
      </c>
      <c r="L329">
        <v>1543.13</v>
      </c>
      <c r="M329">
        <v>2305.8000000000002</v>
      </c>
      <c r="N329">
        <v>762.67000000000007</v>
      </c>
      <c r="O329" s="1" t="s">
        <v>24</v>
      </c>
      <c r="P329" s="1" t="s">
        <v>61</v>
      </c>
      <c r="Q329">
        <v>9</v>
      </c>
    </row>
    <row r="330" spans="1:17" x14ac:dyDescent="0.25">
      <c r="A330" s="1" t="s">
        <v>741</v>
      </c>
      <c r="B330" s="2">
        <v>46049</v>
      </c>
      <c r="C330">
        <v>2026</v>
      </c>
      <c r="D330" s="1" t="s">
        <v>225</v>
      </c>
      <c r="E330" s="1" t="s">
        <v>742</v>
      </c>
      <c r="F330" s="1" t="s">
        <v>138</v>
      </c>
      <c r="G330" s="1" t="s">
        <v>139</v>
      </c>
      <c r="H330" s="1" t="s">
        <v>45</v>
      </c>
      <c r="I330" s="1" t="s">
        <v>23</v>
      </c>
      <c r="J330">
        <v>16</v>
      </c>
      <c r="K330">
        <v>44.96</v>
      </c>
      <c r="L330">
        <v>549.46</v>
      </c>
      <c r="M330">
        <v>719.36</v>
      </c>
      <c r="N330">
        <v>169.89999999999998</v>
      </c>
      <c r="O330" s="1" t="s">
        <v>32</v>
      </c>
      <c r="P330" s="1" t="s">
        <v>33</v>
      </c>
      <c r="Q330">
        <v>1</v>
      </c>
    </row>
    <row r="331" spans="1:17" x14ac:dyDescent="0.25">
      <c r="A331" s="1" t="s">
        <v>743</v>
      </c>
      <c r="B331" s="2">
        <v>46030</v>
      </c>
      <c r="C331">
        <v>2026</v>
      </c>
      <c r="D331" s="1" t="s">
        <v>113</v>
      </c>
      <c r="E331" s="1" t="s">
        <v>328</v>
      </c>
      <c r="F331" s="1" t="s">
        <v>500</v>
      </c>
      <c r="G331" s="1" t="s">
        <v>501</v>
      </c>
      <c r="H331" s="1" t="s">
        <v>111</v>
      </c>
      <c r="I331" s="1" t="s">
        <v>60</v>
      </c>
      <c r="J331">
        <v>18</v>
      </c>
      <c r="K331">
        <v>489.6</v>
      </c>
      <c r="L331">
        <v>6403.04</v>
      </c>
      <c r="M331">
        <v>8812.8000000000011</v>
      </c>
      <c r="N331">
        <v>2409.7600000000011</v>
      </c>
      <c r="O331" s="1" t="s">
        <v>32</v>
      </c>
      <c r="P331" s="1" t="s">
        <v>33</v>
      </c>
      <c r="Q331">
        <v>1</v>
      </c>
    </row>
    <row r="332" spans="1:17" x14ac:dyDescent="0.25">
      <c r="A332" s="1" t="s">
        <v>744</v>
      </c>
      <c r="B332" s="2">
        <v>46151</v>
      </c>
      <c r="C332">
        <v>2026</v>
      </c>
      <c r="D332" s="1" t="s">
        <v>557</v>
      </c>
      <c r="E332" s="1" t="s">
        <v>745</v>
      </c>
      <c r="F332" s="1" t="s">
        <v>115</v>
      </c>
      <c r="G332" s="1" t="s">
        <v>116</v>
      </c>
      <c r="H332" s="1" t="s">
        <v>22</v>
      </c>
      <c r="I332" s="1" t="s">
        <v>31</v>
      </c>
      <c r="J332">
        <v>6</v>
      </c>
      <c r="K332">
        <v>260.3</v>
      </c>
      <c r="L332">
        <v>958.79</v>
      </c>
      <c r="M332">
        <v>1561.8000000000002</v>
      </c>
      <c r="N332">
        <v>603.01000000000022</v>
      </c>
      <c r="O332" s="1" t="s">
        <v>47</v>
      </c>
      <c r="P332" s="1" t="s">
        <v>92</v>
      </c>
      <c r="Q332">
        <v>5</v>
      </c>
    </row>
    <row r="333" spans="1:17" x14ac:dyDescent="0.25">
      <c r="A333" s="1" t="s">
        <v>746</v>
      </c>
      <c r="B333" s="2">
        <v>46343</v>
      </c>
      <c r="C333">
        <v>2026</v>
      </c>
      <c r="D333" s="1" t="s">
        <v>287</v>
      </c>
      <c r="E333" s="1" t="s">
        <v>747</v>
      </c>
      <c r="F333" s="1" t="s">
        <v>164</v>
      </c>
      <c r="G333" s="1" t="s">
        <v>165</v>
      </c>
      <c r="H333" s="1" t="s">
        <v>22</v>
      </c>
      <c r="I333" s="1" t="s">
        <v>60</v>
      </c>
      <c r="J333">
        <v>9</v>
      </c>
      <c r="K333">
        <v>472.84</v>
      </c>
      <c r="L333">
        <v>3615.86</v>
      </c>
      <c r="M333">
        <v>4255.5599999999995</v>
      </c>
      <c r="N333">
        <v>639.69999999999936</v>
      </c>
      <c r="O333" s="1" t="s">
        <v>52</v>
      </c>
      <c r="P333" s="1" t="s">
        <v>134</v>
      </c>
      <c r="Q333">
        <v>11</v>
      </c>
    </row>
    <row r="334" spans="1:17" x14ac:dyDescent="0.25">
      <c r="A334" s="1" t="s">
        <v>748</v>
      </c>
      <c r="B334" s="2">
        <v>46177</v>
      </c>
      <c r="C334">
        <v>2026</v>
      </c>
      <c r="D334" s="1" t="s">
        <v>332</v>
      </c>
      <c r="E334" s="1" t="s">
        <v>184</v>
      </c>
      <c r="F334" s="1" t="s">
        <v>96</v>
      </c>
      <c r="G334" s="1" t="s">
        <v>97</v>
      </c>
      <c r="H334" s="1" t="s">
        <v>39</v>
      </c>
      <c r="I334" s="1" t="s">
        <v>60</v>
      </c>
      <c r="J334">
        <v>17</v>
      </c>
      <c r="K334">
        <v>75.47</v>
      </c>
      <c r="L334">
        <v>841.3</v>
      </c>
      <c r="M334">
        <v>1282.99</v>
      </c>
      <c r="N334">
        <v>441.69000000000005</v>
      </c>
      <c r="O334" s="1" t="s">
        <v>47</v>
      </c>
      <c r="P334" s="1" t="s">
        <v>171</v>
      </c>
      <c r="Q334">
        <v>6</v>
      </c>
    </row>
    <row r="335" spans="1:17" x14ac:dyDescent="0.25">
      <c r="A335" s="1" t="s">
        <v>749</v>
      </c>
      <c r="B335" s="2">
        <v>46158</v>
      </c>
      <c r="C335">
        <v>2026</v>
      </c>
      <c r="D335" s="1" t="s">
        <v>263</v>
      </c>
      <c r="E335" s="1" t="s">
        <v>153</v>
      </c>
      <c r="F335" s="1" t="s">
        <v>57</v>
      </c>
      <c r="G335" s="1" t="s">
        <v>58</v>
      </c>
      <c r="H335" s="1" t="s">
        <v>59</v>
      </c>
      <c r="I335" s="1" t="s">
        <v>60</v>
      </c>
      <c r="J335">
        <v>6</v>
      </c>
      <c r="K335">
        <v>397.6</v>
      </c>
      <c r="L335">
        <v>1332.3</v>
      </c>
      <c r="M335">
        <v>2385.6000000000004</v>
      </c>
      <c r="N335">
        <v>1053.3000000000004</v>
      </c>
      <c r="O335" s="1" t="s">
        <v>47</v>
      </c>
      <c r="P335" s="1" t="s">
        <v>92</v>
      </c>
      <c r="Q335">
        <v>5</v>
      </c>
    </row>
    <row r="336" spans="1:17" x14ac:dyDescent="0.25">
      <c r="A336" s="1" t="s">
        <v>750</v>
      </c>
      <c r="B336" s="2">
        <v>46366</v>
      </c>
      <c r="C336">
        <v>2026</v>
      </c>
      <c r="D336" s="1" t="s">
        <v>722</v>
      </c>
      <c r="E336" s="1" t="s">
        <v>223</v>
      </c>
      <c r="F336" s="1" t="s">
        <v>309</v>
      </c>
      <c r="G336" s="1" t="s">
        <v>310</v>
      </c>
      <c r="H336" s="1" t="s">
        <v>78</v>
      </c>
      <c r="I336" s="1" t="s">
        <v>31</v>
      </c>
      <c r="J336">
        <v>10</v>
      </c>
      <c r="K336">
        <v>175.82</v>
      </c>
      <c r="L336">
        <v>1187.96</v>
      </c>
      <c r="M336">
        <v>1758.1999999999998</v>
      </c>
      <c r="N336">
        <v>570.23999999999978</v>
      </c>
      <c r="O336" s="1" t="s">
        <v>52</v>
      </c>
      <c r="P336" s="1" t="s">
        <v>67</v>
      </c>
      <c r="Q336">
        <v>12</v>
      </c>
    </row>
    <row r="337" spans="1:17" x14ac:dyDescent="0.25">
      <c r="A337" s="1" t="s">
        <v>751</v>
      </c>
      <c r="B337" s="2">
        <v>46188</v>
      </c>
      <c r="C337">
        <v>2026</v>
      </c>
      <c r="D337" s="1" t="s">
        <v>238</v>
      </c>
      <c r="E337" s="1" t="s">
        <v>127</v>
      </c>
      <c r="F337" s="1" t="s">
        <v>76</v>
      </c>
      <c r="G337" s="1" t="s">
        <v>77</v>
      </c>
      <c r="H337" s="1" t="s">
        <v>78</v>
      </c>
      <c r="I337" s="1" t="s">
        <v>23</v>
      </c>
      <c r="J337">
        <v>14</v>
      </c>
      <c r="K337">
        <v>139.07</v>
      </c>
      <c r="L337">
        <v>1287.98</v>
      </c>
      <c r="M337">
        <v>1946.98</v>
      </c>
      <c r="N337">
        <v>659</v>
      </c>
      <c r="O337" s="1" t="s">
        <v>47</v>
      </c>
      <c r="P337" s="1" t="s">
        <v>171</v>
      </c>
      <c r="Q337">
        <v>6</v>
      </c>
    </row>
    <row r="338" spans="1:17" x14ac:dyDescent="0.25">
      <c r="A338" s="1" t="s">
        <v>752</v>
      </c>
      <c r="B338" s="2">
        <v>46259</v>
      </c>
      <c r="C338">
        <v>2026</v>
      </c>
      <c r="D338" s="1" t="s">
        <v>568</v>
      </c>
      <c r="E338" s="1" t="s">
        <v>158</v>
      </c>
      <c r="F338" s="1" t="s">
        <v>440</v>
      </c>
      <c r="G338" s="1" t="s">
        <v>441</v>
      </c>
      <c r="H338" s="1" t="s">
        <v>45</v>
      </c>
      <c r="I338" s="1" t="s">
        <v>23</v>
      </c>
      <c r="J338">
        <v>3</v>
      </c>
      <c r="K338">
        <v>146.63</v>
      </c>
      <c r="L338">
        <v>297.39</v>
      </c>
      <c r="M338">
        <v>439.89</v>
      </c>
      <c r="N338">
        <v>142.5</v>
      </c>
      <c r="O338" s="1" t="s">
        <v>24</v>
      </c>
      <c r="P338" s="1" t="s">
        <v>101</v>
      </c>
      <c r="Q338">
        <v>8</v>
      </c>
    </row>
    <row r="339" spans="1:17" x14ac:dyDescent="0.25">
      <c r="A339" s="1" t="s">
        <v>753</v>
      </c>
      <c r="B339" s="2">
        <v>46367</v>
      </c>
      <c r="C339">
        <v>2026</v>
      </c>
      <c r="D339" s="1" t="s">
        <v>488</v>
      </c>
      <c r="E339" s="1" t="s">
        <v>537</v>
      </c>
      <c r="F339" s="1" t="s">
        <v>185</v>
      </c>
      <c r="G339" s="1" t="s">
        <v>186</v>
      </c>
      <c r="H339" s="1" t="s">
        <v>22</v>
      </c>
      <c r="I339" s="1" t="s">
        <v>60</v>
      </c>
      <c r="J339">
        <v>13</v>
      </c>
      <c r="K339">
        <v>359.21</v>
      </c>
      <c r="L339">
        <v>2853.15</v>
      </c>
      <c r="M339">
        <v>4669.7299999999996</v>
      </c>
      <c r="N339">
        <v>1816.5799999999995</v>
      </c>
      <c r="O339" s="1" t="s">
        <v>52</v>
      </c>
      <c r="P339" s="1" t="s">
        <v>67</v>
      </c>
      <c r="Q339">
        <v>12</v>
      </c>
    </row>
    <row r="340" spans="1:17" x14ac:dyDescent="0.25">
      <c r="A340" s="1" t="s">
        <v>754</v>
      </c>
      <c r="B340" s="2">
        <v>46063</v>
      </c>
      <c r="C340">
        <v>2026</v>
      </c>
      <c r="D340" s="1" t="s">
        <v>575</v>
      </c>
      <c r="E340" s="1" t="s">
        <v>716</v>
      </c>
      <c r="F340" s="1" t="s">
        <v>189</v>
      </c>
      <c r="G340" s="1" t="s">
        <v>190</v>
      </c>
      <c r="H340" s="1" t="s">
        <v>22</v>
      </c>
      <c r="I340" s="1" t="s">
        <v>60</v>
      </c>
      <c r="J340">
        <v>10</v>
      </c>
      <c r="K340">
        <v>480.68</v>
      </c>
      <c r="L340">
        <v>3956.1</v>
      </c>
      <c r="M340">
        <v>4806.8</v>
      </c>
      <c r="N340">
        <v>850.70000000000027</v>
      </c>
      <c r="O340" s="1" t="s">
        <v>32</v>
      </c>
      <c r="P340" s="1" t="s">
        <v>84</v>
      </c>
      <c r="Q340">
        <v>2</v>
      </c>
    </row>
    <row r="341" spans="1:17" x14ac:dyDescent="0.25">
      <c r="A341" s="1" t="s">
        <v>755</v>
      </c>
      <c r="B341" s="2">
        <v>46038</v>
      </c>
      <c r="C341">
        <v>2026</v>
      </c>
      <c r="D341" s="1" t="s">
        <v>263</v>
      </c>
      <c r="E341" s="1" t="s">
        <v>756</v>
      </c>
      <c r="F341" s="1" t="s">
        <v>76</v>
      </c>
      <c r="G341" s="1" t="s">
        <v>77</v>
      </c>
      <c r="H341" s="1" t="s">
        <v>78</v>
      </c>
      <c r="I341" s="1" t="s">
        <v>60</v>
      </c>
      <c r="J341">
        <v>16</v>
      </c>
      <c r="K341">
        <v>170.41</v>
      </c>
      <c r="L341">
        <v>1769</v>
      </c>
      <c r="M341">
        <v>2726.56</v>
      </c>
      <c r="N341">
        <v>957.56</v>
      </c>
      <c r="O341" s="1" t="s">
        <v>32</v>
      </c>
      <c r="P341" s="1" t="s">
        <v>33</v>
      </c>
      <c r="Q341">
        <v>1</v>
      </c>
    </row>
    <row r="342" spans="1:17" x14ac:dyDescent="0.25">
      <c r="A342" s="1" t="s">
        <v>757</v>
      </c>
      <c r="B342" s="2">
        <v>46351</v>
      </c>
      <c r="C342">
        <v>2026</v>
      </c>
      <c r="D342" s="1" t="s">
        <v>113</v>
      </c>
      <c r="E342" s="1" t="s">
        <v>758</v>
      </c>
      <c r="F342" s="1" t="s">
        <v>202</v>
      </c>
      <c r="G342" s="1" t="s">
        <v>203</v>
      </c>
      <c r="H342" s="1" t="s">
        <v>111</v>
      </c>
      <c r="I342" s="1" t="s">
        <v>60</v>
      </c>
      <c r="J342">
        <v>15</v>
      </c>
      <c r="K342">
        <v>391.6</v>
      </c>
      <c r="L342">
        <v>4234.84</v>
      </c>
      <c r="M342">
        <v>5874</v>
      </c>
      <c r="N342">
        <v>1639.1599999999999</v>
      </c>
      <c r="O342" s="1" t="s">
        <v>52</v>
      </c>
      <c r="P342" s="1" t="s">
        <v>134</v>
      </c>
      <c r="Q342">
        <v>11</v>
      </c>
    </row>
    <row r="343" spans="1:17" x14ac:dyDescent="0.25">
      <c r="A343" s="1" t="s">
        <v>759</v>
      </c>
      <c r="B343" s="2">
        <v>46115</v>
      </c>
      <c r="C343">
        <v>2026</v>
      </c>
      <c r="D343" s="1" t="s">
        <v>353</v>
      </c>
      <c r="E343" s="1" t="s">
        <v>760</v>
      </c>
      <c r="F343" s="1" t="s">
        <v>20</v>
      </c>
      <c r="G343" s="1" t="s">
        <v>21</v>
      </c>
      <c r="H343" s="1" t="s">
        <v>22</v>
      </c>
      <c r="I343" s="1" t="s">
        <v>23</v>
      </c>
      <c r="J343">
        <v>18</v>
      </c>
      <c r="K343">
        <v>231.04</v>
      </c>
      <c r="L343">
        <v>3119.07</v>
      </c>
      <c r="M343">
        <v>4158.72</v>
      </c>
      <c r="N343">
        <v>1039.6500000000001</v>
      </c>
      <c r="O343" s="1" t="s">
        <v>47</v>
      </c>
      <c r="P343" s="1" t="s">
        <v>48</v>
      </c>
      <c r="Q343">
        <v>4</v>
      </c>
    </row>
    <row r="344" spans="1:17" x14ac:dyDescent="0.25">
      <c r="A344" s="1" t="s">
        <v>761</v>
      </c>
      <c r="B344" s="2">
        <v>46107</v>
      </c>
      <c r="C344">
        <v>2026</v>
      </c>
      <c r="D344" s="1" t="s">
        <v>315</v>
      </c>
      <c r="E344" s="1" t="s">
        <v>108</v>
      </c>
      <c r="F344" s="1" t="s">
        <v>138</v>
      </c>
      <c r="G344" s="1" t="s">
        <v>139</v>
      </c>
      <c r="H344" s="1" t="s">
        <v>45</v>
      </c>
      <c r="I344" s="1" t="s">
        <v>23</v>
      </c>
      <c r="J344">
        <v>11</v>
      </c>
      <c r="K344">
        <v>235.87</v>
      </c>
      <c r="L344">
        <v>1749.93</v>
      </c>
      <c r="M344">
        <v>2594.5700000000002</v>
      </c>
      <c r="N344">
        <v>844.6400000000001</v>
      </c>
      <c r="O344" s="1" t="s">
        <v>32</v>
      </c>
      <c r="P344" s="1" t="s">
        <v>88</v>
      </c>
      <c r="Q344">
        <v>3</v>
      </c>
    </row>
    <row r="345" spans="1:17" x14ac:dyDescent="0.25">
      <c r="A345" s="1" t="s">
        <v>762</v>
      </c>
      <c r="B345" s="2">
        <v>46237</v>
      </c>
      <c r="C345">
        <v>2026</v>
      </c>
      <c r="D345" s="1" t="s">
        <v>94</v>
      </c>
      <c r="E345" s="1" t="s">
        <v>677</v>
      </c>
      <c r="F345" s="1" t="s">
        <v>265</v>
      </c>
      <c r="G345" s="1" t="s">
        <v>266</v>
      </c>
      <c r="H345" s="1" t="s">
        <v>59</v>
      </c>
      <c r="I345" s="1" t="s">
        <v>31</v>
      </c>
      <c r="J345">
        <v>15</v>
      </c>
      <c r="K345">
        <v>256.43</v>
      </c>
      <c r="L345">
        <v>3201.67</v>
      </c>
      <c r="M345">
        <v>3846.4500000000003</v>
      </c>
      <c r="N345">
        <v>644.7800000000002</v>
      </c>
      <c r="O345" s="1" t="s">
        <v>24</v>
      </c>
      <c r="P345" s="1" t="s">
        <v>101</v>
      </c>
      <c r="Q345">
        <v>8</v>
      </c>
    </row>
    <row r="346" spans="1:17" x14ac:dyDescent="0.25">
      <c r="A346" s="1" t="s">
        <v>763</v>
      </c>
      <c r="B346" s="2">
        <v>46137</v>
      </c>
      <c r="C346">
        <v>2026</v>
      </c>
      <c r="D346" s="1" t="s">
        <v>196</v>
      </c>
      <c r="E346" s="1" t="s">
        <v>764</v>
      </c>
      <c r="F346" s="1" t="s">
        <v>120</v>
      </c>
      <c r="G346" s="1" t="s">
        <v>121</v>
      </c>
      <c r="H346" s="1" t="s">
        <v>39</v>
      </c>
      <c r="I346" s="1" t="s">
        <v>23</v>
      </c>
      <c r="J346">
        <v>17</v>
      </c>
      <c r="K346">
        <v>457.85</v>
      </c>
      <c r="L346">
        <v>5670.66</v>
      </c>
      <c r="M346">
        <v>7783.4500000000007</v>
      </c>
      <c r="N346">
        <v>2112.7900000000009</v>
      </c>
      <c r="O346" s="1" t="s">
        <v>47</v>
      </c>
      <c r="P346" s="1" t="s">
        <v>48</v>
      </c>
      <c r="Q346">
        <v>4</v>
      </c>
    </row>
    <row r="347" spans="1:17" x14ac:dyDescent="0.25">
      <c r="A347" s="1" t="s">
        <v>765</v>
      </c>
      <c r="B347" s="2">
        <v>46081</v>
      </c>
      <c r="C347">
        <v>2026</v>
      </c>
      <c r="D347" s="1" t="s">
        <v>766</v>
      </c>
      <c r="E347" s="1" t="s">
        <v>133</v>
      </c>
      <c r="F347" s="1" t="s">
        <v>309</v>
      </c>
      <c r="G347" s="1" t="s">
        <v>310</v>
      </c>
      <c r="H347" s="1" t="s">
        <v>78</v>
      </c>
      <c r="I347" s="1" t="s">
        <v>60</v>
      </c>
      <c r="J347">
        <v>1</v>
      </c>
      <c r="K347">
        <v>272.36</v>
      </c>
      <c r="L347">
        <v>157.91</v>
      </c>
      <c r="M347">
        <v>272.36</v>
      </c>
      <c r="N347">
        <v>114.45000000000002</v>
      </c>
      <c r="O347" s="1" t="s">
        <v>32</v>
      </c>
      <c r="P347" s="1" t="s">
        <v>84</v>
      </c>
      <c r="Q347">
        <v>2</v>
      </c>
    </row>
    <row r="348" spans="1:17" x14ac:dyDescent="0.25">
      <c r="A348" s="1" t="s">
        <v>767</v>
      </c>
      <c r="B348" s="2">
        <v>46291</v>
      </c>
      <c r="C348">
        <v>2026</v>
      </c>
      <c r="D348" s="1" t="s">
        <v>276</v>
      </c>
      <c r="E348" s="1" t="s">
        <v>439</v>
      </c>
      <c r="F348" s="1" t="s">
        <v>339</v>
      </c>
      <c r="G348" s="1" t="s">
        <v>340</v>
      </c>
      <c r="H348" s="1" t="s">
        <v>78</v>
      </c>
      <c r="I348" s="1" t="s">
        <v>46</v>
      </c>
      <c r="J348">
        <v>1</v>
      </c>
      <c r="K348">
        <v>178.16</v>
      </c>
      <c r="L348">
        <v>96.75</v>
      </c>
      <c r="M348">
        <v>178.16</v>
      </c>
      <c r="N348">
        <v>81.41</v>
      </c>
      <c r="O348" s="1" t="s">
        <v>24</v>
      </c>
      <c r="P348" s="1" t="s">
        <v>61</v>
      </c>
      <c r="Q348">
        <v>9</v>
      </c>
    </row>
    <row r="349" spans="1:17" x14ac:dyDescent="0.25">
      <c r="A349" s="1" t="s">
        <v>768</v>
      </c>
      <c r="B349" s="2">
        <v>46133</v>
      </c>
      <c r="C349">
        <v>2026</v>
      </c>
      <c r="D349" s="1" t="s">
        <v>196</v>
      </c>
      <c r="E349" s="1" t="s">
        <v>481</v>
      </c>
      <c r="F349" s="1" t="s">
        <v>440</v>
      </c>
      <c r="G349" s="1" t="s">
        <v>441</v>
      </c>
      <c r="H349" s="1" t="s">
        <v>45</v>
      </c>
      <c r="I349" s="1" t="s">
        <v>23</v>
      </c>
      <c r="J349">
        <v>13</v>
      </c>
      <c r="K349">
        <v>191.28</v>
      </c>
      <c r="L349">
        <v>1634.68</v>
      </c>
      <c r="M349">
        <v>2486.64</v>
      </c>
      <c r="N349">
        <v>851.95999999999981</v>
      </c>
      <c r="O349" s="1" t="s">
        <v>47</v>
      </c>
      <c r="P349" s="1" t="s">
        <v>48</v>
      </c>
      <c r="Q349">
        <v>4</v>
      </c>
    </row>
    <row r="350" spans="1:17" x14ac:dyDescent="0.25">
      <c r="A350" s="1" t="s">
        <v>769</v>
      </c>
      <c r="B350" s="2">
        <v>46158</v>
      </c>
      <c r="C350">
        <v>2026</v>
      </c>
      <c r="D350" s="1" t="s">
        <v>86</v>
      </c>
      <c r="E350" s="1" t="s">
        <v>644</v>
      </c>
      <c r="F350" s="1" t="s">
        <v>43</v>
      </c>
      <c r="G350" s="1" t="s">
        <v>44</v>
      </c>
      <c r="H350" s="1" t="s">
        <v>45</v>
      </c>
      <c r="I350" s="1" t="s">
        <v>46</v>
      </c>
      <c r="J350">
        <v>8</v>
      </c>
      <c r="K350">
        <v>293.33999999999997</v>
      </c>
      <c r="L350">
        <v>1791.73</v>
      </c>
      <c r="M350">
        <v>2346.7199999999998</v>
      </c>
      <c r="N350">
        <v>554.98999999999978</v>
      </c>
      <c r="O350" s="1" t="s">
        <v>47</v>
      </c>
      <c r="P350" s="1" t="s">
        <v>92</v>
      </c>
      <c r="Q350">
        <v>5</v>
      </c>
    </row>
    <row r="351" spans="1:17" x14ac:dyDescent="0.25">
      <c r="A351" s="1" t="s">
        <v>770</v>
      </c>
      <c r="B351" s="2">
        <v>46163</v>
      </c>
      <c r="C351">
        <v>2026</v>
      </c>
      <c r="D351" s="1" t="s">
        <v>488</v>
      </c>
      <c r="E351" s="1" t="s">
        <v>305</v>
      </c>
      <c r="F351" s="1" t="s">
        <v>456</v>
      </c>
      <c r="G351" s="1" t="s">
        <v>457</v>
      </c>
      <c r="H351" s="1" t="s">
        <v>111</v>
      </c>
      <c r="I351" s="1" t="s">
        <v>31</v>
      </c>
      <c r="J351">
        <v>18</v>
      </c>
      <c r="K351">
        <v>380.07</v>
      </c>
      <c r="L351">
        <v>4777.1000000000004</v>
      </c>
      <c r="M351">
        <v>6841.26</v>
      </c>
      <c r="N351">
        <v>2064.16</v>
      </c>
      <c r="O351" s="1" t="s">
        <v>47</v>
      </c>
      <c r="P351" s="1" t="s">
        <v>92</v>
      </c>
      <c r="Q351">
        <v>5</v>
      </c>
    </row>
    <row r="352" spans="1:17" x14ac:dyDescent="0.25">
      <c r="A352" s="1" t="s">
        <v>771</v>
      </c>
      <c r="B352" s="2">
        <v>46361</v>
      </c>
      <c r="C352">
        <v>2026</v>
      </c>
      <c r="D352" s="1" t="s">
        <v>420</v>
      </c>
      <c r="E352" s="1" t="s">
        <v>772</v>
      </c>
      <c r="F352" s="1" t="s">
        <v>71</v>
      </c>
      <c r="G352" s="1" t="s">
        <v>72</v>
      </c>
      <c r="H352" s="1" t="s">
        <v>22</v>
      </c>
      <c r="I352" s="1" t="s">
        <v>23</v>
      </c>
      <c r="J352">
        <v>6</v>
      </c>
      <c r="K352">
        <v>81.86</v>
      </c>
      <c r="L352">
        <v>306.73</v>
      </c>
      <c r="M352">
        <v>491.15999999999997</v>
      </c>
      <c r="N352">
        <v>184.42999999999995</v>
      </c>
      <c r="O352" s="1" t="s">
        <v>52</v>
      </c>
      <c r="P352" s="1" t="s">
        <v>67</v>
      </c>
      <c r="Q352">
        <v>12</v>
      </c>
    </row>
    <row r="353" spans="1:17" x14ac:dyDescent="0.25">
      <c r="A353" s="1" t="s">
        <v>773</v>
      </c>
      <c r="B353" s="2">
        <v>46348</v>
      </c>
      <c r="C353">
        <v>2026</v>
      </c>
      <c r="D353" s="1" t="s">
        <v>260</v>
      </c>
      <c r="E353" s="1" t="s">
        <v>469</v>
      </c>
      <c r="F353" s="1" t="s">
        <v>20</v>
      </c>
      <c r="G353" s="1" t="s">
        <v>21</v>
      </c>
      <c r="H353" s="1" t="s">
        <v>22</v>
      </c>
      <c r="I353" s="1" t="s">
        <v>46</v>
      </c>
      <c r="J353">
        <v>15</v>
      </c>
      <c r="K353">
        <v>177.75</v>
      </c>
      <c r="L353">
        <v>1769.54</v>
      </c>
      <c r="M353">
        <v>2666.25</v>
      </c>
      <c r="N353">
        <v>896.71</v>
      </c>
      <c r="O353" s="1" t="s">
        <v>52</v>
      </c>
      <c r="P353" s="1" t="s">
        <v>134</v>
      </c>
      <c r="Q353">
        <v>11</v>
      </c>
    </row>
    <row r="354" spans="1:17" x14ac:dyDescent="0.25">
      <c r="A354" s="1" t="s">
        <v>774</v>
      </c>
      <c r="B354" s="2">
        <v>46230</v>
      </c>
      <c r="C354">
        <v>2026</v>
      </c>
      <c r="D354" s="1" t="s">
        <v>475</v>
      </c>
      <c r="E354" s="1" t="s">
        <v>324</v>
      </c>
      <c r="F354" s="1" t="s">
        <v>245</v>
      </c>
      <c r="G354" s="1" t="s">
        <v>246</v>
      </c>
      <c r="H354" s="1" t="s">
        <v>39</v>
      </c>
      <c r="I354" s="1" t="s">
        <v>60</v>
      </c>
      <c r="J354">
        <v>14</v>
      </c>
      <c r="K354">
        <v>468.71</v>
      </c>
      <c r="L354">
        <v>4203.43</v>
      </c>
      <c r="M354">
        <v>6561.94</v>
      </c>
      <c r="N354">
        <v>2358.5099999999993</v>
      </c>
      <c r="O354" s="1" t="s">
        <v>24</v>
      </c>
      <c r="P354" s="1" t="s">
        <v>25</v>
      </c>
      <c r="Q354">
        <v>7</v>
      </c>
    </row>
    <row r="355" spans="1:17" x14ac:dyDescent="0.25">
      <c r="A355" s="1" t="s">
        <v>775</v>
      </c>
      <c r="B355" s="2">
        <v>46296</v>
      </c>
      <c r="C355">
        <v>2026</v>
      </c>
      <c r="D355" s="1" t="s">
        <v>653</v>
      </c>
      <c r="E355" s="1" t="s">
        <v>489</v>
      </c>
      <c r="F355" s="1" t="s">
        <v>339</v>
      </c>
      <c r="G355" s="1" t="s">
        <v>340</v>
      </c>
      <c r="H355" s="1" t="s">
        <v>78</v>
      </c>
      <c r="I355" s="1" t="s">
        <v>60</v>
      </c>
      <c r="J355">
        <v>3</v>
      </c>
      <c r="K355">
        <v>486.92</v>
      </c>
      <c r="L355">
        <v>977.67</v>
      </c>
      <c r="M355">
        <v>1460.76</v>
      </c>
      <c r="N355">
        <v>483.09000000000003</v>
      </c>
      <c r="O355" s="1" t="s">
        <v>52</v>
      </c>
      <c r="P355" s="1" t="s">
        <v>53</v>
      </c>
      <c r="Q355">
        <v>10</v>
      </c>
    </row>
    <row r="356" spans="1:17" x14ac:dyDescent="0.25">
      <c r="A356" s="1" t="s">
        <v>776</v>
      </c>
      <c r="B356" s="2">
        <v>46170</v>
      </c>
      <c r="C356">
        <v>2026</v>
      </c>
      <c r="D356" s="1" t="s">
        <v>260</v>
      </c>
      <c r="E356" s="1" t="s">
        <v>130</v>
      </c>
      <c r="F356" s="1" t="s">
        <v>202</v>
      </c>
      <c r="G356" s="1" t="s">
        <v>203</v>
      </c>
      <c r="H356" s="1" t="s">
        <v>111</v>
      </c>
      <c r="I356" s="1" t="s">
        <v>46</v>
      </c>
      <c r="J356">
        <v>3</v>
      </c>
      <c r="K356">
        <v>262.91000000000003</v>
      </c>
      <c r="L356">
        <v>448.83</v>
      </c>
      <c r="M356">
        <v>788.73</v>
      </c>
      <c r="N356">
        <v>339.90000000000003</v>
      </c>
      <c r="O356" s="1" t="s">
        <v>47</v>
      </c>
      <c r="P356" s="1" t="s">
        <v>92</v>
      </c>
      <c r="Q356">
        <v>5</v>
      </c>
    </row>
    <row r="357" spans="1:17" x14ac:dyDescent="0.25">
      <c r="A357" s="1" t="s">
        <v>777</v>
      </c>
      <c r="B357" s="2">
        <v>46103</v>
      </c>
      <c r="C357">
        <v>2026</v>
      </c>
      <c r="D357" s="1" t="s">
        <v>588</v>
      </c>
      <c r="E357" s="1" t="s">
        <v>778</v>
      </c>
      <c r="F357" s="1" t="s">
        <v>257</v>
      </c>
      <c r="G357" s="1" t="s">
        <v>258</v>
      </c>
      <c r="H357" s="1" t="s">
        <v>39</v>
      </c>
      <c r="I357" s="1" t="s">
        <v>60</v>
      </c>
      <c r="J357">
        <v>9</v>
      </c>
      <c r="K357">
        <v>275.76</v>
      </c>
      <c r="L357">
        <v>1425.27</v>
      </c>
      <c r="M357">
        <v>2481.84</v>
      </c>
      <c r="N357">
        <v>1056.5700000000002</v>
      </c>
      <c r="O357" s="1" t="s">
        <v>32</v>
      </c>
      <c r="P357" s="1" t="s">
        <v>88</v>
      </c>
      <c r="Q357">
        <v>3</v>
      </c>
    </row>
    <row r="358" spans="1:17" x14ac:dyDescent="0.25">
      <c r="A358" s="1" t="s">
        <v>779</v>
      </c>
      <c r="B358" s="2">
        <v>46039</v>
      </c>
      <c r="C358">
        <v>2026</v>
      </c>
      <c r="D358" s="1" t="s">
        <v>281</v>
      </c>
      <c r="E358" s="1" t="s">
        <v>747</v>
      </c>
      <c r="F358" s="1" t="s">
        <v>265</v>
      </c>
      <c r="G358" s="1" t="s">
        <v>266</v>
      </c>
      <c r="H358" s="1" t="s">
        <v>59</v>
      </c>
      <c r="I358" s="1" t="s">
        <v>60</v>
      </c>
      <c r="J358">
        <v>20</v>
      </c>
      <c r="K358">
        <v>264.44</v>
      </c>
      <c r="L358">
        <v>3788.33</v>
      </c>
      <c r="M358">
        <v>5288.8</v>
      </c>
      <c r="N358">
        <v>1500.4700000000003</v>
      </c>
      <c r="O358" s="1" t="s">
        <v>32</v>
      </c>
      <c r="P358" s="1" t="s">
        <v>33</v>
      </c>
      <c r="Q358">
        <v>1</v>
      </c>
    </row>
    <row r="359" spans="1:17" x14ac:dyDescent="0.25">
      <c r="A359" s="1" t="s">
        <v>780</v>
      </c>
      <c r="B359" s="2">
        <v>46048</v>
      </c>
      <c r="C359">
        <v>2026</v>
      </c>
      <c r="D359" s="1" t="s">
        <v>676</v>
      </c>
      <c r="E359" s="1" t="s">
        <v>493</v>
      </c>
      <c r="F359" s="1" t="s">
        <v>149</v>
      </c>
      <c r="G359" s="1" t="s">
        <v>150</v>
      </c>
      <c r="H359" s="1" t="s">
        <v>22</v>
      </c>
      <c r="I359" s="1" t="s">
        <v>31</v>
      </c>
      <c r="J359">
        <v>13</v>
      </c>
      <c r="K359">
        <v>146.93</v>
      </c>
      <c r="L359">
        <v>1117.3</v>
      </c>
      <c r="M359">
        <v>1910.0900000000001</v>
      </c>
      <c r="N359">
        <v>792.79000000000019</v>
      </c>
      <c r="O359" s="1" t="s">
        <v>32</v>
      </c>
      <c r="P359" s="1" t="s">
        <v>33</v>
      </c>
      <c r="Q359">
        <v>1</v>
      </c>
    </row>
    <row r="360" spans="1:17" x14ac:dyDescent="0.25">
      <c r="A360" s="1" t="s">
        <v>781</v>
      </c>
      <c r="B360" s="2">
        <v>46282</v>
      </c>
      <c r="C360">
        <v>2026</v>
      </c>
      <c r="D360" s="1" t="s">
        <v>50</v>
      </c>
      <c r="E360" s="1" t="s">
        <v>343</v>
      </c>
      <c r="F360" s="1" t="s">
        <v>257</v>
      </c>
      <c r="G360" s="1" t="s">
        <v>258</v>
      </c>
      <c r="H360" s="1" t="s">
        <v>39</v>
      </c>
      <c r="I360" s="1" t="s">
        <v>46</v>
      </c>
      <c r="J360">
        <v>7</v>
      </c>
      <c r="K360">
        <v>250.67</v>
      </c>
      <c r="L360">
        <v>1022.28</v>
      </c>
      <c r="M360">
        <v>1754.6899999999998</v>
      </c>
      <c r="N360">
        <v>732.40999999999985</v>
      </c>
      <c r="O360" s="1" t="s">
        <v>24</v>
      </c>
      <c r="P360" s="1" t="s">
        <v>61</v>
      </c>
      <c r="Q360">
        <v>9</v>
      </c>
    </row>
    <row r="361" spans="1:17" x14ac:dyDescent="0.25">
      <c r="A361" s="1" t="s">
        <v>782</v>
      </c>
      <c r="B361" s="2">
        <v>46187</v>
      </c>
      <c r="C361">
        <v>2026</v>
      </c>
      <c r="D361" s="1" t="s">
        <v>722</v>
      </c>
      <c r="E361" s="1" t="s">
        <v>631</v>
      </c>
      <c r="F361" s="1" t="s">
        <v>43</v>
      </c>
      <c r="G361" s="1" t="s">
        <v>44</v>
      </c>
      <c r="H361" s="1" t="s">
        <v>45</v>
      </c>
      <c r="I361" s="1" t="s">
        <v>46</v>
      </c>
      <c r="J361">
        <v>8</v>
      </c>
      <c r="K361">
        <v>137.77000000000001</v>
      </c>
      <c r="L361">
        <v>865.42</v>
      </c>
      <c r="M361">
        <v>1102.1600000000001</v>
      </c>
      <c r="N361">
        <v>236.74000000000012</v>
      </c>
      <c r="O361" s="1" t="s">
        <v>47</v>
      </c>
      <c r="P361" s="1" t="s">
        <v>171</v>
      </c>
      <c r="Q361">
        <v>6</v>
      </c>
    </row>
    <row r="362" spans="1:17" x14ac:dyDescent="0.25">
      <c r="A362" s="1" t="s">
        <v>783</v>
      </c>
      <c r="B362" s="2">
        <v>46242</v>
      </c>
      <c r="C362">
        <v>2026</v>
      </c>
      <c r="D362" s="1" t="s">
        <v>219</v>
      </c>
      <c r="E362" s="1" t="s">
        <v>192</v>
      </c>
      <c r="F362" s="1" t="s">
        <v>65</v>
      </c>
      <c r="G362" s="1" t="s">
        <v>66</v>
      </c>
      <c r="H362" s="1" t="s">
        <v>59</v>
      </c>
      <c r="I362" s="1" t="s">
        <v>46</v>
      </c>
      <c r="J362">
        <v>17</v>
      </c>
      <c r="K362">
        <v>227.68</v>
      </c>
      <c r="L362">
        <v>2534.66</v>
      </c>
      <c r="M362">
        <v>3870.56</v>
      </c>
      <c r="N362">
        <v>1335.9</v>
      </c>
      <c r="O362" s="1" t="s">
        <v>24</v>
      </c>
      <c r="P362" s="1" t="s">
        <v>101</v>
      </c>
      <c r="Q362">
        <v>8</v>
      </c>
    </row>
    <row r="363" spans="1:17" x14ac:dyDescent="0.25">
      <c r="A363" s="1" t="s">
        <v>784</v>
      </c>
      <c r="B363" s="2">
        <v>46345</v>
      </c>
      <c r="C363">
        <v>2026</v>
      </c>
      <c r="D363" s="1" t="s">
        <v>483</v>
      </c>
      <c r="E363" s="1" t="s">
        <v>451</v>
      </c>
      <c r="F363" s="1" t="s">
        <v>309</v>
      </c>
      <c r="G363" s="1" t="s">
        <v>310</v>
      </c>
      <c r="H363" s="1" t="s">
        <v>78</v>
      </c>
      <c r="I363" s="1" t="s">
        <v>31</v>
      </c>
      <c r="J363">
        <v>14</v>
      </c>
      <c r="K363">
        <v>225.63</v>
      </c>
      <c r="L363">
        <v>2276.58</v>
      </c>
      <c r="M363">
        <v>3158.8199999999997</v>
      </c>
      <c r="N363">
        <v>882.23999999999978</v>
      </c>
      <c r="O363" s="1" t="s">
        <v>52</v>
      </c>
      <c r="P363" s="1" t="s">
        <v>134</v>
      </c>
      <c r="Q363">
        <v>11</v>
      </c>
    </row>
    <row r="364" spans="1:17" x14ac:dyDescent="0.25">
      <c r="A364" s="1" t="s">
        <v>785</v>
      </c>
      <c r="B364" s="2">
        <v>46055</v>
      </c>
      <c r="C364">
        <v>2026</v>
      </c>
      <c r="D364" s="1" t="s">
        <v>162</v>
      </c>
      <c r="E364" s="1" t="s">
        <v>244</v>
      </c>
      <c r="F364" s="1" t="s">
        <v>185</v>
      </c>
      <c r="G364" s="1" t="s">
        <v>186</v>
      </c>
      <c r="H364" s="1" t="s">
        <v>22</v>
      </c>
      <c r="I364" s="1" t="s">
        <v>46</v>
      </c>
      <c r="J364">
        <v>10</v>
      </c>
      <c r="K364">
        <v>117.79</v>
      </c>
      <c r="L364">
        <v>835.09</v>
      </c>
      <c r="M364">
        <v>1177.9000000000001</v>
      </c>
      <c r="N364">
        <v>342.81000000000006</v>
      </c>
      <c r="O364" s="1" t="s">
        <v>32</v>
      </c>
      <c r="P364" s="1" t="s">
        <v>84</v>
      </c>
      <c r="Q364">
        <v>2</v>
      </c>
    </row>
    <row r="365" spans="1:17" x14ac:dyDescent="0.25">
      <c r="A365" s="1" t="s">
        <v>786</v>
      </c>
      <c r="B365" s="2">
        <v>46165</v>
      </c>
      <c r="C365">
        <v>2026</v>
      </c>
      <c r="D365" s="1" t="s">
        <v>437</v>
      </c>
      <c r="E365" s="1" t="s">
        <v>174</v>
      </c>
      <c r="F365" s="1" t="s">
        <v>197</v>
      </c>
      <c r="G365" s="1" t="s">
        <v>198</v>
      </c>
      <c r="H365" s="1" t="s">
        <v>59</v>
      </c>
      <c r="I365" s="1" t="s">
        <v>60</v>
      </c>
      <c r="J365">
        <v>20</v>
      </c>
      <c r="K365">
        <v>461.39</v>
      </c>
      <c r="L365">
        <v>6447.22</v>
      </c>
      <c r="M365">
        <v>9227.7999999999993</v>
      </c>
      <c r="N365">
        <v>2780.579999999999</v>
      </c>
      <c r="O365" s="1" t="s">
        <v>47</v>
      </c>
      <c r="P365" s="1" t="s">
        <v>92</v>
      </c>
      <c r="Q365">
        <v>5</v>
      </c>
    </row>
    <row r="366" spans="1:17" x14ac:dyDescent="0.25">
      <c r="A366" s="1" t="s">
        <v>787</v>
      </c>
      <c r="B366" s="2">
        <v>46153</v>
      </c>
      <c r="C366">
        <v>2026</v>
      </c>
      <c r="D366" s="1" t="s">
        <v>222</v>
      </c>
      <c r="E366" s="1" t="s">
        <v>471</v>
      </c>
      <c r="F366" s="1" t="s">
        <v>211</v>
      </c>
      <c r="G366" s="1" t="s">
        <v>212</v>
      </c>
      <c r="H366" s="1" t="s">
        <v>39</v>
      </c>
      <c r="I366" s="1" t="s">
        <v>46</v>
      </c>
      <c r="J366">
        <v>14</v>
      </c>
      <c r="K366">
        <v>397.58</v>
      </c>
      <c r="L366">
        <v>4332.5600000000004</v>
      </c>
      <c r="M366">
        <v>5566.12</v>
      </c>
      <c r="N366">
        <v>1233.5599999999995</v>
      </c>
      <c r="O366" s="1" t="s">
        <v>47</v>
      </c>
      <c r="P366" s="1" t="s">
        <v>92</v>
      </c>
      <c r="Q366">
        <v>5</v>
      </c>
    </row>
    <row r="367" spans="1:17" x14ac:dyDescent="0.25">
      <c r="A367" s="1" t="s">
        <v>788</v>
      </c>
      <c r="B367" s="2">
        <v>46123</v>
      </c>
      <c r="C367">
        <v>2026</v>
      </c>
      <c r="D367" s="1" t="s">
        <v>136</v>
      </c>
      <c r="E367" s="1" t="s">
        <v>320</v>
      </c>
      <c r="F367" s="1" t="s">
        <v>265</v>
      </c>
      <c r="G367" s="1" t="s">
        <v>266</v>
      </c>
      <c r="H367" s="1" t="s">
        <v>59</v>
      </c>
      <c r="I367" s="1" t="s">
        <v>23</v>
      </c>
      <c r="J367">
        <v>20</v>
      </c>
      <c r="K367">
        <v>476.7</v>
      </c>
      <c r="L367">
        <v>6104.14</v>
      </c>
      <c r="M367">
        <v>9534</v>
      </c>
      <c r="N367">
        <v>3429.8599999999997</v>
      </c>
      <c r="O367" s="1" t="s">
        <v>47</v>
      </c>
      <c r="P367" s="1" t="s">
        <v>48</v>
      </c>
      <c r="Q367">
        <v>4</v>
      </c>
    </row>
    <row r="368" spans="1:17" x14ac:dyDescent="0.25">
      <c r="A368" s="1" t="s">
        <v>789</v>
      </c>
      <c r="B368" s="2">
        <v>46027</v>
      </c>
      <c r="C368">
        <v>2026</v>
      </c>
      <c r="D368" s="1" t="s">
        <v>462</v>
      </c>
      <c r="E368" s="1" t="s">
        <v>790</v>
      </c>
      <c r="F368" s="1" t="s">
        <v>76</v>
      </c>
      <c r="G368" s="1" t="s">
        <v>77</v>
      </c>
      <c r="H368" s="1" t="s">
        <v>78</v>
      </c>
      <c r="I368" s="1" t="s">
        <v>31</v>
      </c>
      <c r="J368">
        <v>5</v>
      </c>
      <c r="K368">
        <v>381.24</v>
      </c>
      <c r="L368">
        <v>1513.89</v>
      </c>
      <c r="M368">
        <v>1906.2</v>
      </c>
      <c r="N368">
        <v>392.30999999999995</v>
      </c>
      <c r="O368" s="1" t="s">
        <v>32</v>
      </c>
      <c r="P368" s="1" t="s">
        <v>33</v>
      </c>
      <c r="Q368">
        <v>1</v>
      </c>
    </row>
    <row r="369" spans="1:17" x14ac:dyDescent="0.25">
      <c r="A369" s="1" t="s">
        <v>791</v>
      </c>
      <c r="B369" s="2">
        <v>46159</v>
      </c>
      <c r="C369">
        <v>2026</v>
      </c>
      <c r="D369" s="1" t="s">
        <v>792</v>
      </c>
      <c r="E369" s="1" t="s">
        <v>133</v>
      </c>
      <c r="F369" s="1" t="s">
        <v>189</v>
      </c>
      <c r="G369" s="1" t="s">
        <v>190</v>
      </c>
      <c r="H369" s="1" t="s">
        <v>22</v>
      </c>
      <c r="I369" s="1" t="s">
        <v>60</v>
      </c>
      <c r="J369">
        <v>1</v>
      </c>
      <c r="K369">
        <v>67.150000000000006</v>
      </c>
      <c r="L369">
        <v>39.19</v>
      </c>
      <c r="M369">
        <v>67.150000000000006</v>
      </c>
      <c r="N369">
        <v>27.960000000000008</v>
      </c>
      <c r="O369" s="1" t="s">
        <v>47</v>
      </c>
      <c r="P369" s="1" t="s">
        <v>92</v>
      </c>
      <c r="Q369">
        <v>5</v>
      </c>
    </row>
    <row r="370" spans="1:17" x14ac:dyDescent="0.25">
      <c r="A370" s="1" t="s">
        <v>793</v>
      </c>
      <c r="B370" s="2">
        <v>46209</v>
      </c>
      <c r="C370">
        <v>2026</v>
      </c>
      <c r="D370" s="1" t="s">
        <v>55</v>
      </c>
      <c r="E370" s="1" t="s">
        <v>36</v>
      </c>
      <c r="F370" s="1" t="s">
        <v>185</v>
      </c>
      <c r="G370" s="1" t="s">
        <v>186</v>
      </c>
      <c r="H370" s="1" t="s">
        <v>22</v>
      </c>
      <c r="I370" s="1" t="s">
        <v>23</v>
      </c>
      <c r="J370">
        <v>4</v>
      </c>
      <c r="K370">
        <v>160.66999999999999</v>
      </c>
      <c r="L370">
        <v>492.91</v>
      </c>
      <c r="M370">
        <v>642.67999999999995</v>
      </c>
      <c r="N370">
        <v>149.76999999999992</v>
      </c>
      <c r="O370" s="1" t="s">
        <v>24</v>
      </c>
      <c r="P370" s="1" t="s">
        <v>25</v>
      </c>
      <c r="Q370">
        <v>7</v>
      </c>
    </row>
    <row r="371" spans="1:17" x14ac:dyDescent="0.25">
      <c r="A371" s="1" t="s">
        <v>794</v>
      </c>
      <c r="B371" s="2">
        <v>46053</v>
      </c>
      <c r="C371">
        <v>2026</v>
      </c>
      <c r="D371" s="1" t="s">
        <v>243</v>
      </c>
      <c r="E371" s="1" t="s">
        <v>795</v>
      </c>
      <c r="F371" s="1" t="s">
        <v>20</v>
      </c>
      <c r="G371" s="1" t="s">
        <v>21</v>
      </c>
      <c r="H371" s="1" t="s">
        <v>22</v>
      </c>
      <c r="I371" s="1" t="s">
        <v>31</v>
      </c>
      <c r="J371">
        <v>14</v>
      </c>
      <c r="K371">
        <v>472.01</v>
      </c>
      <c r="L371">
        <v>4733.74</v>
      </c>
      <c r="M371">
        <v>6608.1399999999994</v>
      </c>
      <c r="N371">
        <v>1874.3999999999996</v>
      </c>
      <c r="O371" s="1" t="s">
        <v>32</v>
      </c>
      <c r="P371" s="1" t="s">
        <v>33</v>
      </c>
      <c r="Q371">
        <v>1</v>
      </c>
    </row>
    <row r="372" spans="1:17" x14ac:dyDescent="0.25">
      <c r="A372" s="1" t="s">
        <v>796</v>
      </c>
      <c r="B372" s="2">
        <v>46314</v>
      </c>
      <c r="C372">
        <v>2026</v>
      </c>
      <c r="D372" s="1" t="s">
        <v>349</v>
      </c>
      <c r="E372" s="1" t="s">
        <v>264</v>
      </c>
      <c r="F372" s="1" t="s">
        <v>105</v>
      </c>
      <c r="G372" s="1" t="s">
        <v>106</v>
      </c>
      <c r="H372" s="1" t="s">
        <v>78</v>
      </c>
      <c r="I372" s="1" t="s">
        <v>31</v>
      </c>
      <c r="J372">
        <v>12</v>
      </c>
      <c r="K372">
        <v>44.17</v>
      </c>
      <c r="L372">
        <v>390.82</v>
      </c>
      <c r="M372">
        <v>530.04</v>
      </c>
      <c r="N372">
        <v>139.21999999999997</v>
      </c>
      <c r="O372" s="1" t="s">
        <v>52</v>
      </c>
      <c r="P372" s="1" t="s">
        <v>53</v>
      </c>
      <c r="Q372">
        <v>10</v>
      </c>
    </row>
    <row r="373" spans="1:17" x14ac:dyDescent="0.25">
      <c r="A373" s="1" t="s">
        <v>797</v>
      </c>
      <c r="B373" s="2">
        <v>46195</v>
      </c>
      <c r="C373">
        <v>2026</v>
      </c>
      <c r="D373" s="1" t="s">
        <v>373</v>
      </c>
      <c r="E373" s="1" t="s">
        <v>665</v>
      </c>
      <c r="F373" s="1" t="s">
        <v>144</v>
      </c>
      <c r="G373" s="1" t="s">
        <v>145</v>
      </c>
      <c r="H373" s="1" t="s">
        <v>39</v>
      </c>
      <c r="I373" s="1" t="s">
        <v>31</v>
      </c>
      <c r="J373">
        <v>19</v>
      </c>
      <c r="K373">
        <v>239.14</v>
      </c>
      <c r="L373">
        <v>3257.32</v>
      </c>
      <c r="M373">
        <v>4543.66</v>
      </c>
      <c r="N373">
        <v>1286.3399999999997</v>
      </c>
      <c r="O373" s="1" t="s">
        <v>47</v>
      </c>
      <c r="P373" s="1" t="s">
        <v>171</v>
      </c>
      <c r="Q373">
        <v>6</v>
      </c>
    </row>
    <row r="374" spans="1:17" x14ac:dyDescent="0.25">
      <c r="A374" s="1" t="s">
        <v>798</v>
      </c>
      <c r="B374" s="2">
        <v>46063</v>
      </c>
      <c r="C374">
        <v>2026</v>
      </c>
      <c r="D374" s="1" t="s">
        <v>27</v>
      </c>
      <c r="E374" s="1" t="s">
        <v>716</v>
      </c>
      <c r="F374" s="1" t="s">
        <v>20</v>
      </c>
      <c r="G374" s="1" t="s">
        <v>21</v>
      </c>
      <c r="H374" s="1" t="s">
        <v>22</v>
      </c>
      <c r="I374" s="1" t="s">
        <v>23</v>
      </c>
      <c r="J374">
        <v>14</v>
      </c>
      <c r="K374">
        <v>87.8</v>
      </c>
      <c r="L374">
        <v>814.17</v>
      </c>
      <c r="M374">
        <v>1229.2</v>
      </c>
      <c r="N374">
        <v>415.03000000000009</v>
      </c>
      <c r="O374" s="1" t="s">
        <v>32</v>
      </c>
      <c r="P374" s="1" t="s">
        <v>84</v>
      </c>
      <c r="Q374">
        <v>2</v>
      </c>
    </row>
    <row r="375" spans="1:17" x14ac:dyDescent="0.25">
      <c r="A375" s="1" t="s">
        <v>799</v>
      </c>
      <c r="B375" s="2">
        <v>46188</v>
      </c>
      <c r="C375">
        <v>2026</v>
      </c>
      <c r="D375" s="1" t="s">
        <v>173</v>
      </c>
      <c r="E375" s="1" t="s">
        <v>576</v>
      </c>
      <c r="F375" s="1" t="s">
        <v>333</v>
      </c>
      <c r="G375" s="1" t="s">
        <v>334</v>
      </c>
      <c r="H375" s="1" t="s">
        <v>22</v>
      </c>
      <c r="I375" s="1" t="s">
        <v>46</v>
      </c>
      <c r="J375">
        <v>7</v>
      </c>
      <c r="K375">
        <v>48.79</v>
      </c>
      <c r="L375">
        <v>226</v>
      </c>
      <c r="M375">
        <v>341.53</v>
      </c>
      <c r="N375">
        <v>115.52999999999997</v>
      </c>
      <c r="O375" s="1" t="s">
        <v>47</v>
      </c>
      <c r="P375" s="1" t="s">
        <v>171</v>
      </c>
      <c r="Q375">
        <v>6</v>
      </c>
    </row>
    <row r="376" spans="1:17" x14ac:dyDescent="0.25">
      <c r="A376" s="1" t="s">
        <v>800</v>
      </c>
      <c r="B376" s="2">
        <v>46369</v>
      </c>
      <c r="C376">
        <v>2026</v>
      </c>
      <c r="D376" s="1" t="s">
        <v>792</v>
      </c>
      <c r="E376" s="1" t="s">
        <v>379</v>
      </c>
      <c r="F376" s="1" t="s">
        <v>249</v>
      </c>
      <c r="G376" s="1" t="s">
        <v>250</v>
      </c>
      <c r="H376" s="1" t="s">
        <v>59</v>
      </c>
      <c r="I376" s="1" t="s">
        <v>23</v>
      </c>
      <c r="J376">
        <v>13</v>
      </c>
      <c r="K376">
        <v>108.9</v>
      </c>
      <c r="L376">
        <v>980.69</v>
      </c>
      <c r="M376">
        <v>1415.7</v>
      </c>
      <c r="N376">
        <v>435.01</v>
      </c>
      <c r="O376" s="1" t="s">
        <v>52</v>
      </c>
      <c r="P376" s="1" t="s">
        <v>67</v>
      </c>
      <c r="Q376">
        <v>12</v>
      </c>
    </row>
    <row r="377" spans="1:17" x14ac:dyDescent="0.25">
      <c r="A377" s="1" t="s">
        <v>801</v>
      </c>
      <c r="B377" s="2">
        <v>46170</v>
      </c>
      <c r="C377">
        <v>2026</v>
      </c>
      <c r="D377" s="1" t="s">
        <v>248</v>
      </c>
      <c r="E377" s="1" t="s">
        <v>802</v>
      </c>
      <c r="F377" s="1" t="s">
        <v>175</v>
      </c>
      <c r="G377" s="1" t="s">
        <v>176</v>
      </c>
      <c r="H377" s="1" t="s">
        <v>59</v>
      </c>
      <c r="I377" s="1" t="s">
        <v>23</v>
      </c>
      <c r="J377">
        <v>12</v>
      </c>
      <c r="K377">
        <v>322.32</v>
      </c>
      <c r="L377">
        <v>2733.81</v>
      </c>
      <c r="M377">
        <v>3867.84</v>
      </c>
      <c r="N377">
        <v>1134.0300000000002</v>
      </c>
      <c r="O377" s="1" t="s">
        <v>47</v>
      </c>
      <c r="P377" s="1" t="s">
        <v>92</v>
      </c>
      <c r="Q377">
        <v>5</v>
      </c>
    </row>
    <row r="378" spans="1:17" x14ac:dyDescent="0.25">
      <c r="A378" s="1" t="s">
        <v>803</v>
      </c>
      <c r="B378" s="2">
        <v>46128</v>
      </c>
      <c r="C378">
        <v>2026</v>
      </c>
      <c r="D378" s="1" t="s">
        <v>437</v>
      </c>
      <c r="E378" s="1" t="s">
        <v>804</v>
      </c>
      <c r="F378" s="1" t="s">
        <v>120</v>
      </c>
      <c r="G378" s="1" t="s">
        <v>121</v>
      </c>
      <c r="H378" s="1" t="s">
        <v>39</v>
      </c>
      <c r="I378" s="1" t="s">
        <v>46</v>
      </c>
      <c r="J378">
        <v>9</v>
      </c>
      <c r="K378">
        <v>444.4</v>
      </c>
      <c r="L378">
        <v>2827.71</v>
      </c>
      <c r="M378">
        <v>3999.6</v>
      </c>
      <c r="N378">
        <v>1171.8899999999999</v>
      </c>
      <c r="O378" s="1" t="s">
        <v>47</v>
      </c>
      <c r="P378" s="1" t="s">
        <v>48</v>
      </c>
      <c r="Q378">
        <v>4</v>
      </c>
    </row>
    <row r="379" spans="1:17" x14ac:dyDescent="0.25">
      <c r="A379" s="1" t="s">
        <v>805</v>
      </c>
      <c r="B379" s="2">
        <v>46214</v>
      </c>
      <c r="C379">
        <v>2026</v>
      </c>
      <c r="D379" s="1" t="s">
        <v>50</v>
      </c>
      <c r="E379" s="1" t="s">
        <v>130</v>
      </c>
      <c r="F379" s="1" t="s">
        <v>159</v>
      </c>
      <c r="G379" s="1" t="s">
        <v>160</v>
      </c>
      <c r="H379" s="1" t="s">
        <v>111</v>
      </c>
      <c r="I379" s="1" t="s">
        <v>60</v>
      </c>
      <c r="J379">
        <v>18</v>
      </c>
      <c r="K379">
        <v>392.96</v>
      </c>
      <c r="L379">
        <v>4833.18</v>
      </c>
      <c r="M379">
        <v>7073.28</v>
      </c>
      <c r="N379">
        <v>2240.0999999999995</v>
      </c>
      <c r="O379" s="1" t="s">
        <v>24</v>
      </c>
      <c r="P379" s="1" t="s">
        <v>25</v>
      </c>
      <c r="Q379">
        <v>7</v>
      </c>
    </row>
    <row r="380" spans="1:17" x14ac:dyDescent="0.25">
      <c r="A380" s="1" t="s">
        <v>806</v>
      </c>
      <c r="B380" s="2">
        <v>46130</v>
      </c>
      <c r="C380">
        <v>2026</v>
      </c>
      <c r="D380" s="1" t="s">
        <v>575</v>
      </c>
      <c r="E380" s="1" t="s">
        <v>807</v>
      </c>
      <c r="F380" s="1" t="s">
        <v>76</v>
      </c>
      <c r="G380" s="1" t="s">
        <v>77</v>
      </c>
      <c r="H380" s="1" t="s">
        <v>78</v>
      </c>
      <c r="I380" s="1" t="s">
        <v>31</v>
      </c>
      <c r="J380">
        <v>14</v>
      </c>
      <c r="K380">
        <v>48.61</v>
      </c>
      <c r="L380">
        <v>538.67999999999995</v>
      </c>
      <c r="M380">
        <v>680.54</v>
      </c>
      <c r="N380">
        <v>141.86000000000001</v>
      </c>
      <c r="O380" s="1" t="s">
        <v>47</v>
      </c>
      <c r="P380" s="1" t="s">
        <v>48</v>
      </c>
      <c r="Q380">
        <v>4</v>
      </c>
    </row>
    <row r="381" spans="1:17" x14ac:dyDescent="0.25">
      <c r="A381" s="1" t="s">
        <v>808</v>
      </c>
      <c r="B381" s="2">
        <v>46273</v>
      </c>
      <c r="C381">
        <v>2026</v>
      </c>
      <c r="D381" s="1" t="s">
        <v>475</v>
      </c>
      <c r="E381" s="1" t="s">
        <v>499</v>
      </c>
      <c r="F381" s="1" t="s">
        <v>37</v>
      </c>
      <c r="G381" s="1" t="s">
        <v>38</v>
      </c>
      <c r="H381" s="1" t="s">
        <v>39</v>
      </c>
      <c r="I381" s="1" t="s">
        <v>46</v>
      </c>
      <c r="J381">
        <v>1</v>
      </c>
      <c r="K381">
        <v>252.71</v>
      </c>
      <c r="L381">
        <v>145.18</v>
      </c>
      <c r="M381">
        <v>252.71</v>
      </c>
      <c r="N381">
        <v>107.53</v>
      </c>
      <c r="O381" s="1" t="s">
        <v>24</v>
      </c>
      <c r="P381" s="1" t="s">
        <v>61</v>
      </c>
      <c r="Q381">
        <v>9</v>
      </c>
    </row>
    <row r="382" spans="1:17" x14ac:dyDescent="0.25">
      <c r="A382" s="1" t="s">
        <v>809</v>
      </c>
      <c r="B382" s="2">
        <v>46337</v>
      </c>
      <c r="C382">
        <v>2026</v>
      </c>
      <c r="D382" s="1" t="s">
        <v>488</v>
      </c>
      <c r="E382" s="1" t="s">
        <v>188</v>
      </c>
      <c r="F382" s="1" t="s">
        <v>202</v>
      </c>
      <c r="G382" s="1" t="s">
        <v>203</v>
      </c>
      <c r="H382" s="1" t="s">
        <v>111</v>
      </c>
      <c r="I382" s="1" t="s">
        <v>23</v>
      </c>
      <c r="J382">
        <v>16</v>
      </c>
      <c r="K382">
        <v>189.88</v>
      </c>
      <c r="L382">
        <v>1938.21</v>
      </c>
      <c r="M382">
        <v>3038.08</v>
      </c>
      <c r="N382">
        <v>1099.8699999999999</v>
      </c>
      <c r="O382" s="1" t="s">
        <v>52</v>
      </c>
      <c r="P382" s="1" t="s">
        <v>134</v>
      </c>
      <c r="Q382">
        <v>11</v>
      </c>
    </row>
    <row r="383" spans="1:17" x14ac:dyDescent="0.25">
      <c r="A383" s="1" t="s">
        <v>810</v>
      </c>
      <c r="B383" s="2">
        <v>46110</v>
      </c>
      <c r="C383">
        <v>2026</v>
      </c>
      <c r="D383" s="1" t="s">
        <v>50</v>
      </c>
      <c r="E383" s="1" t="s">
        <v>530</v>
      </c>
      <c r="F383" s="1" t="s">
        <v>169</v>
      </c>
      <c r="G383" s="1" t="s">
        <v>170</v>
      </c>
      <c r="H383" s="1" t="s">
        <v>78</v>
      </c>
      <c r="I383" s="1" t="s">
        <v>23</v>
      </c>
      <c r="J383">
        <v>15</v>
      </c>
      <c r="K383">
        <v>382.8</v>
      </c>
      <c r="L383">
        <v>4407</v>
      </c>
      <c r="M383">
        <v>5742</v>
      </c>
      <c r="N383">
        <v>1335</v>
      </c>
      <c r="O383" s="1" t="s">
        <v>32</v>
      </c>
      <c r="P383" s="1" t="s">
        <v>88</v>
      </c>
      <c r="Q383">
        <v>3</v>
      </c>
    </row>
    <row r="384" spans="1:17" x14ac:dyDescent="0.25">
      <c r="A384" s="1" t="s">
        <v>811</v>
      </c>
      <c r="B384" s="2">
        <v>46157</v>
      </c>
      <c r="C384">
        <v>2026</v>
      </c>
      <c r="D384" s="1" t="s">
        <v>546</v>
      </c>
      <c r="E384" s="1" t="s">
        <v>127</v>
      </c>
      <c r="F384" s="1" t="s">
        <v>164</v>
      </c>
      <c r="G384" s="1" t="s">
        <v>165</v>
      </c>
      <c r="H384" s="1" t="s">
        <v>22</v>
      </c>
      <c r="I384" s="1" t="s">
        <v>23</v>
      </c>
      <c r="J384">
        <v>9</v>
      </c>
      <c r="K384">
        <v>115.23</v>
      </c>
      <c r="L384">
        <v>634.88</v>
      </c>
      <c r="M384">
        <v>1037.07</v>
      </c>
      <c r="N384">
        <v>402.18999999999994</v>
      </c>
      <c r="O384" s="1" t="s">
        <v>47</v>
      </c>
      <c r="P384" s="1" t="s">
        <v>92</v>
      </c>
      <c r="Q384">
        <v>5</v>
      </c>
    </row>
    <row r="385" spans="1:17" x14ac:dyDescent="0.25">
      <c r="A385" s="1" t="s">
        <v>812</v>
      </c>
      <c r="B385" s="2">
        <v>46139</v>
      </c>
      <c r="C385">
        <v>2026</v>
      </c>
      <c r="D385" s="1" t="s">
        <v>450</v>
      </c>
      <c r="E385" s="1" t="s">
        <v>389</v>
      </c>
      <c r="F385" s="1" t="s">
        <v>20</v>
      </c>
      <c r="G385" s="1" t="s">
        <v>21</v>
      </c>
      <c r="H385" s="1" t="s">
        <v>22</v>
      </c>
      <c r="I385" s="1" t="s">
        <v>60</v>
      </c>
      <c r="J385">
        <v>13</v>
      </c>
      <c r="K385">
        <v>151.27000000000001</v>
      </c>
      <c r="L385">
        <v>1320.47</v>
      </c>
      <c r="M385">
        <v>1966.5100000000002</v>
      </c>
      <c r="N385">
        <v>646.04000000000019</v>
      </c>
      <c r="O385" s="1" t="s">
        <v>47</v>
      </c>
      <c r="P385" s="1" t="s">
        <v>48</v>
      </c>
      <c r="Q385">
        <v>4</v>
      </c>
    </row>
    <row r="386" spans="1:17" x14ac:dyDescent="0.25">
      <c r="A386" s="1" t="s">
        <v>813</v>
      </c>
      <c r="B386" s="2">
        <v>46069</v>
      </c>
      <c r="C386">
        <v>2026</v>
      </c>
      <c r="D386" s="1" t="s">
        <v>607</v>
      </c>
      <c r="E386" s="1" t="s">
        <v>398</v>
      </c>
      <c r="F386" s="1" t="s">
        <v>245</v>
      </c>
      <c r="G386" s="1" t="s">
        <v>246</v>
      </c>
      <c r="H386" s="1" t="s">
        <v>39</v>
      </c>
      <c r="I386" s="1" t="s">
        <v>60</v>
      </c>
      <c r="J386">
        <v>1</v>
      </c>
      <c r="K386">
        <v>283.81</v>
      </c>
      <c r="L386">
        <v>160.80000000000001</v>
      </c>
      <c r="M386">
        <v>283.81</v>
      </c>
      <c r="N386">
        <v>123.00999999999999</v>
      </c>
      <c r="O386" s="1" t="s">
        <v>32</v>
      </c>
      <c r="P386" s="1" t="s">
        <v>84</v>
      </c>
      <c r="Q386">
        <v>2</v>
      </c>
    </row>
    <row r="387" spans="1:17" x14ac:dyDescent="0.25">
      <c r="A387" s="1" t="s">
        <v>814</v>
      </c>
      <c r="B387" s="2">
        <v>46308</v>
      </c>
      <c r="C387">
        <v>2026</v>
      </c>
      <c r="D387" s="1" t="s">
        <v>607</v>
      </c>
      <c r="E387" s="1" t="s">
        <v>815</v>
      </c>
      <c r="F387" s="1" t="s">
        <v>533</v>
      </c>
      <c r="G387" s="1" t="s">
        <v>534</v>
      </c>
      <c r="H387" s="1" t="s">
        <v>236</v>
      </c>
      <c r="I387" s="1" t="s">
        <v>46</v>
      </c>
      <c r="J387">
        <v>14</v>
      </c>
      <c r="K387">
        <v>121.21</v>
      </c>
      <c r="L387">
        <v>1211.8499999999999</v>
      </c>
      <c r="M387">
        <v>1696.9399999999998</v>
      </c>
      <c r="N387">
        <v>485.08999999999992</v>
      </c>
      <c r="O387" s="1" t="s">
        <v>52</v>
      </c>
      <c r="P387" s="1" t="s">
        <v>53</v>
      </c>
      <c r="Q387">
        <v>10</v>
      </c>
    </row>
    <row r="388" spans="1:17" x14ac:dyDescent="0.25">
      <c r="A388" s="1" t="s">
        <v>816</v>
      </c>
      <c r="B388" s="2">
        <v>46163</v>
      </c>
      <c r="C388">
        <v>2026</v>
      </c>
      <c r="D388" s="1" t="s">
        <v>676</v>
      </c>
      <c r="E388" s="1" t="s">
        <v>549</v>
      </c>
      <c r="F388" s="1" t="s">
        <v>29</v>
      </c>
      <c r="G388" s="1" t="s">
        <v>30</v>
      </c>
      <c r="H388" s="1" t="s">
        <v>22</v>
      </c>
      <c r="I388" s="1" t="s">
        <v>60</v>
      </c>
      <c r="J388">
        <v>17</v>
      </c>
      <c r="K388">
        <v>497.75</v>
      </c>
      <c r="L388">
        <v>6090.12</v>
      </c>
      <c r="M388">
        <v>8461.75</v>
      </c>
      <c r="N388">
        <v>2371.63</v>
      </c>
      <c r="O388" s="1" t="s">
        <v>47</v>
      </c>
      <c r="P388" s="1" t="s">
        <v>92</v>
      </c>
      <c r="Q388">
        <v>5</v>
      </c>
    </row>
    <row r="389" spans="1:17" x14ac:dyDescent="0.25">
      <c r="A389" s="1" t="s">
        <v>817</v>
      </c>
      <c r="B389" s="2">
        <v>46271</v>
      </c>
      <c r="C389">
        <v>2026</v>
      </c>
      <c r="D389" s="1" t="s">
        <v>557</v>
      </c>
      <c r="E389" s="1" t="s">
        <v>429</v>
      </c>
      <c r="F389" s="1" t="s">
        <v>231</v>
      </c>
      <c r="G389" s="1" t="s">
        <v>232</v>
      </c>
      <c r="H389" s="1" t="s">
        <v>59</v>
      </c>
      <c r="I389" s="1" t="s">
        <v>31</v>
      </c>
      <c r="J389">
        <v>17</v>
      </c>
      <c r="K389">
        <v>242.35</v>
      </c>
      <c r="L389">
        <v>2899.06</v>
      </c>
      <c r="M389">
        <v>4119.95</v>
      </c>
      <c r="N389">
        <v>1220.8899999999999</v>
      </c>
      <c r="O389" s="1" t="s">
        <v>24</v>
      </c>
      <c r="P389" s="1" t="s">
        <v>61</v>
      </c>
      <c r="Q389">
        <v>9</v>
      </c>
    </row>
    <row r="390" spans="1:17" x14ac:dyDescent="0.25">
      <c r="A390" s="1" t="s">
        <v>818</v>
      </c>
      <c r="B390" s="2">
        <v>46024</v>
      </c>
      <c r="C390">
        <v>2026</v>
      </c>
      <c r="D390" s="1" t="s">
        <v>129</v>
      </c>
      <c r="E390" s="1" t="s">
        <v>119</v>
      </c>
      <c r="F390" s="1" t="s">
        <v>500</v>
      </c>
      <c r="G390" s="1" t="s">
        <v>501</v>
      </c>
      <c r="H390" s="1" t="s">
        <v>111</v>
      </c>
      <c r="I390" s="1" t="s">
        <v>31</v>
      </c>
      <c r="J390">
        <v>18</v>
      </c>
      <c r="K390">
        <v>386.69</v>
      </c>
      <c r="L390">
        <v>4524.3500000000004</v>
      </c>
      <c r="M390">
        <v>6960.42</v>
      </c>
      <c r="N390">
        <v>2436.0699999999997</v>
      </c>
      <c r="O390" s="1" t="s">
        <v>32</v>
      </c>
      <c r="P390" s="1" t="s">
        <v>33</v>
      </c>
      <c r="Q390">
        <v>1</v>
      </c>
    </row>
    <row r="391" spans="1:17" x14ac:dyDescent="0.25">
      <c r="A391" s="1" t="s">
        <v>819</v>
      </c>
      <c r="B391" s="2">
        <v>46367</v>
      </c>
      <c r="C391">
        <v>2026</v>
      </c>
      <c r="D391" s="1" t="s">
        <v>41</v>
      </c>
      <c r="E391" s="1" t="s">
        <v>87</v>
      </c>
      <c r="F391" s="1" t="s">
        <v>169</v>
      </c>
      <c r="G391" s="1" t="s">
        <v>170</v>
      </c>
      <c r="H391" s="1" t="s">
        <v>78</v>
      </c>
      <c r="I391" s="1" t="s">
        <v>23</v>
      </c>
      <c r="J391">
        <v>3</v>
      </c>
      <c r="K391">
        <v>280.52999999999997</v>
      </c>
      <c r="L391">
        <v>573.45000000000005</v>
      </c>
      <c r="M391">
        <v>841.58999999999992</v>
      </c>
      <c r="N391">
        <v>268.13999999999987</v>
      </c>
      <c r="O391" s="1" t="s">
        <v>52</v>
      </c>
      <c r="P391" s="1" t="s">
        <v>67</v>
      </c>
      <c r="Q391">
        <v>12</v>
      </c>
    </row>
    <row r="392" spans="1:17" x14ac:dyDescent="0.25">
      <c r="A392" s="1" t="s">
        <v>820</v>
      </c>
      <c r="B392" s="2">
        <v>46300</v>
      </c>
      <c r="C392">
        <v>2026</v>
      </c>
      <c r="D392" s="1" t="s">
        <v>462</v>
      </c>
      <c r="E392" s="1" t="s">
        <v>345</v>
      </c>
      <c r="F392" s="1" t="s">
        <v>144</v>
      </c>
      <c r="G392" s="1" t="s">
        <v>145</v>
      </c>
      <c r="H392" s="1" t="s">
        <v>39</v>
      </c>
      <c r="I392" s="1" t="s">
        <v>23</v>
      </c>
      <c r="J392">
        <v>13</v>
      </c>
      <c r="K392">
        <v>213.24</v>
      </c>
      <c r="L392">
        <v>1734.92</v>
      </c>
      <c r="M392">
        <v>2772.12</v>
      </c>
      <c r="N392">
        <v>1037.1999999999998</v>
      </c>
      <c r="O392" s="1" t="s">
        <v>52</v>
      </c>
      <c r="P392" s="1" t="s">
        <v>53</v>
      </c>
      <c r="Q392">
        <v>10</v>
      </c>
    </row>
    <row r="393" spans="1:17" x14ac:dyDescent="0.25">
      <c r="A393" s="1" t="s">
        <v>821</v>
      </c>
      <c r="B393" s="2">
        <v>46365</v>
      </c>
      <c r="C393">
        <v>2026</v>
      </c>
      <c r="D393" s="1" t="s">
        <v>486</v>
      </c>
      <c r="E393" s="1" t="s">
        <v>347</v>
      </c>
      <c r="F393" s="1" t="s">
        <v>105</v>
      </c>
      <c r="G393" s="1" t="s">
        <v>106</v>
      </c>
      <c r="H393" s="1" t="s">
        <v>78</v>
      </c>
      <c r="I393" s="1" t="s">
        <v>31</v>
      </c>
      <c r="J393">
        <v>10</v>
      </c>
      <c r="K393">
        <v>370.04</v>
      </c>
      <c r="L393">
        <v>2727.9</v>
      </c>
      <c r="M393">
        <v>3700.4</v>
      </c>
      <c r="N393">
        <v>972.5</v>
      </c>
      <c r="O393" s="1" t="s">
        <v>52</v>
      </c>
      <c r="P393" s="1" t="s">
        <v>67</v>
      </c>
      <c r="Q393">
        <v>12</v>
      </c>
    </row>
    <row r="394" spans="1:17" x14ac:dyDescent="0.25">
      <c r="A394" s="1" t="s">
        <v>822</v>
      </c>
      <c r="B394" s="2">
        <v>46072</v>
      </c>
      <c r="C394">
        <v>2026</v>
      </c>
      <c r="D394" s="1" t="s">
        <v>147</v>
      </c>
      <c r="E394" s="1" t="s">
        <v>636</v>
      </c>
      <c r="F394" s="1" t="s">
        <v>249</v>
      </c>
      <c r="G394" s="1" t="s">
        <v>250</v>
      </c>
      <c r="H394" s="1" t="s">
        <v>59</v>
      </c>
      <c r="I394" s="1" t="s">
        <v>46</v>
      </c>
      <c r="J394">
        <v>13</v>
      </c>
      <c r="K394">
        <v>346.41</v>
      </c>
      <c r="L394">
        <v>2977.38</v>
      </c>
      <c r="M394">
        <v>4503.33</v>
      </c>
      <c r="N394">
        <v>1525.9499999999998</v>
      </c>
      <c r="O394" s="1" t="s">
        <v>32</v>
      </c>
      <c r="P394" s="1" t="s">
        <v>84</v>
      </c>
      <c r="Q394">
        <v>2</v>
      </c>
    </row>
    <row r="395" spans="1:17" x14ac:dyDescent="0.25">
      <c r="A395" s="1" t="s">
        <v>823</v>
      </c>
      <c r="B395" s="2">
        <v>46168</v>
      </c>
      <c r="C395">
        <v>2026</v>
      </c>
      <c r="D395" s="1" t="s">
        <v>588</v>
      </c>
      <c r="E395" s="1" t="s">
        <v>369</v>
      </c>
      <c r="F395" s="1" t="s">
        <v>211</v>
      </c>
      <c r="G395" s="1" t="s">
        <v>212</v>
      </c>
      <c r="H395" s="1" t="s">
        <v>39</v>
      </c>
      <c r="I395" s="1" t="s">
        <v>60</v>
      </c>
      <c r="J395">
        <v>8</v>
      </c>
      <c r="K395">
        <v>90.05</v>
      </c>
      <c r="L395">
        <v>411.07</v>
      </c>
      <c r="M395">
        <v>720.4</v>
      </c>
      <c r="N395">
        <v>309.33</v>
      </c>
      <c r="O395" s="1" t="s">
        <v>47</v>
      </c>
      <c r="P395" s="1" t="s">
        <v>92</v>
      </c>
      <c r="Q395">
        <v>5</v>
      </c>
    </row>
    <row r="396" spans="1:17" x14ac:dyDescent="0.25">
      <c r="A396" s="1" t="s">
        <v>824</v>
      </c>
      <c r="B396" s="2">
        <v>46139</v>
      </c>
      <c r="C396">
        <v>2026</v>
      </c>
      <c r="D396" s="1" t="s">
        <v>297</v>
      </c>
      <c r="E396" s="1" t="s">
        <v>825</v>
      </c>
      <c r="F396" s="1" t="s">
        <v>29</v>
      </c>
      <c r="G396" s="1" t="s">
        <v>30</v>
      </c>
      <c r="H396" s="1" t="s">
        <v>22</v>
      </c>
      <c r="I396" s="1" t="s">
        <v>46</v>
      </c>
      <c r="J396">
        <v>12</v>
      </c>
      <c r="K396">
        <v>79.34</v>
      </c>
      <c r="L396">
        <v>499.35</v>
      </c>
      <c r="M396">
        <v>952.08</v>
      </c>
      <c r="N396">
        <v>452.73</v>
      </c>
      <c r="O396" s="1" t="s">
        <v>47</v>
      </c>
      <c r="P396" s="1" t="s">
        <v>48</v>
      </c>
      <c r="Q396">
        <v>4</v>
      </c>
    </row>
    <row r="397" spans="1:17" x14ac:dyDescent="0.25">
      <c r="A397" s="1" t="s">
        <v>826</v>
      </c>
      <c r="B397" s="2">
        <v>46050</v>
      </c>
      <c r="C397">
        <v>2026</v>
      </c>
      <c r="D397" s="1" t="s">
        <v>284</v>
      </c>
      <c r="E397" s="1" t="s">
        <v>570</v>
      </c>
      <c r="F397" s="1" t="s">
        <v>234</v>
      </c>
      <c r="G397" s="1" t="s">
        <v>235</v>
      </c>
      <c r="H397" s="1" t="s">
        <v>236</v>
      </c>
      <c r="I397" s="1" t="s">
        <v>46</v>
      </c>
      <c r="J397">
        <v>19</v>
      </c>
      <c r="K397">
        <v>307.5</v>
      </c>
      <c r="L397">
        <v>4815.2700000000004</v>
      </c>
      <c r="M397">
        <v>5842.5</v>
      </c>
      <c r="N397">
        <v>1027.2299999999996</v>
      </c>
      <c r="O397" s="1" t="s">
        <v>32</v>
      </c>
      <c r="P397" s="1" t="s">
        <v>33</v>
      </c>
      <c r="Q397">
        <v>1</v>
      </c>
    </row>
    <row r="398" spans="1:17" x14ac:dyDescent="0.25">
      <c r="A398" s="1" t="s">
        <v>827</v>
      </c>
      <c r="B398" s="2">
        <v>46387</v>
      </c>
      <c r="C398">
        <v>2026</v>
      </c>
      <c r="D398" s="1" t="s">
        <v>495</v>
      </c>
      <c r="E398" s="1" t="s">
        <v>828</v>
      </c>
      <c r="F398" s="1" t="s">
        <v>71</v>
      </c>
      <c r="G398" s="1" t="s">
        <v>72</v>
      </c>
      <c r="H398" s="1" t="s">
        <v>22</v>
      </c>
      <c r="I398" s="1" t="s">
        <v>31</v>
      </c>
      <c r="J398">
        <v>2</v>
      </c>
      <c r="K398">
        <v>87.64</v>
      </c>
      <c r="L398">
        <v>108.57</v>
      </c>
      <c r="M398">
        <v>175.28</v>
      </c>
      <c r="N398">
        <v>66.710000000000008</v>
      </c>
      <c r="O398" s="1" t="s">
        <v>52</v>
      </c>
      <c r="P398" s="1" t="s">
        <v>67</v>
      </c>
      <c r="Q398">
        <v>12</v>
      </c>
    </row>
    <row r="399" spans="1:17" x14ac:dyDescent="0.25">
      <c r="A399" s="1" t="s">
        <v>829</v>
      </c>
      <c r="B399" s="2">
        <v>46158</v>
      </c>
      <c r="C399">
        <v>2026</v>
      </c>
      <c r="D399" s="1" t="s">
        <v>443</v>
      </c>
      <c r="E399" s="1" t="s">
        <v>516</v>
      </c>
      <c r="F399" s="1" t="s">
        <v>329</v>
      </c>
      <c r="G399" s="1" t="s">
        <v>330</v>
      </c>
      <c r="H399" s="1" t="s">
        <v>78</v>
      </c>
      <c r="I399" s="1" t="s">
        <v>23</v>
      </c>
      <c r="J399">
        <v>16</v>
      </c>
      <c r="K399">
        <v>111.25</v>
      </c>
      <c r="L399">
        <v>1003.15</v>
      </c>
      <c r="M399">
        <v>1780</v>
      </c>
      <c r="N399">
        <v>776.85</v>
      </c>
      <c r="O399" s="1" t="s">
        <v>47</v>
      </c>
      <c r="P399" s="1" t="s">
        <v>92</v>
      </c>
      <c r="Q399">
        <v>5</v>
      </c>
    </row>
    <row r="400" spans="1:17" x14ac:dyDescent="0.25">
      <c r="A400" s="1" t="s">
        <v>830</v>
      </c>
      <c r="B400" s="2">
        <v>46038</v>
      </c>
      <c r="C400">
        <v>2026</v>
      </c>
      <c r="D400" s="1" t="s">
        <v>304</v>
      </c>
      <c r="E400" s="1" t="s">
        <v>427</v>
      </c>
      <c r="F400" s="1" t="s">
        <v>339</v>
      </c>
      <c r="G400" s="1" t="s">
        <v>340</v>
      </c>
      <c r="H400" s="1" t="s">
        <v>78</v>
      </c>
      <c r="I400" s="1" t="s">
        <v>23</v>
      </c>
      <c r="J400">
        <v>11</v>
      </c>
      <c r="K400">
        <v>227.9</v>
      </c>
      <c r="L400">
        <v>1736.6</v>
      </c>
      <c r="M400">
        <v>2506.9</v>
      </c>
      <c r="N400">
        <v>770.30000000000018</v>
      </c>
      <c r="O400" s="1" t="s">
        <v>32</v>
      </c>
      <c r="P400" s="1" t="s">
        <v>33</v>
      </c>
      <c r="Q400">
        <v>1</v>
      </c>
    </row>
    <row r="401" spans="1:17" x14ac:dyDescent="0.25">
      <c r="A401" s="1" t="s">
        <v>831</v>
      </c>
      <c r="B401" s="2">
        <v>46131</v>
      </c>
      <c r="C401">
        <v>2026</v>
      </c>
      <c r="D401" s="1" t="s">
        <v>479</v>
      </c>
      <c r="E401" s="1" t="s">
        <v>241</v>
      </c>
      <c r="F401" s="1" t="s">
        <v>231</v>
      </c>
      <c r="G401" s="1" t="s">
        <v>232</v>
      </c>
      <c r="H401" s="1" t="s">
        <v>59</v>
      </c>
      <c r="I401" s="1" t="s">
        <v>60</v>
      </c>
      <c r="J401">
        <v>10</v>
      </c>
      <c r="K401">
        <v>478.47</v>
      </c>
      <c r="L401">
        <v>2850.86</v>
      </c>
      <c r="M401">
        <v>4784.7000000000007</v>
      </c>
      <c r="N401">
        <v>1933.8400000000006</v>
      </c>
      <c r="O401" s="1" t="s">
        <v>47</v>
      </c>
      <c r="P401" s="1" t="s">
        <v>48</v>
      </c>
      <c r="Q401">
        <v>4</v>
      </c>
    </row>
    <row r="402" spans="1:17" x14ac:dyDescent="0.25">
      <c r="A402" s="1" t="s">
        <v>832</v>
      </c>
      <c r="B402" s="2">
        <v>46106</v>
      </c>
      <c r="C402">
        <v>2026</v>
      </c>
      <c r="D402" s="1" t="s">
        <v>18</v>
      </c>
      <c r="E402" s="1" t="s">
        <v>833</v>
      </c>
      <c r="F402" s="1" t="s">
        <v>249</v>
      </c>
      <c r="G402" s="1" t="s">
        <v>250</v>
      </c>
      <c r="H402" s="1" t="s">
        <v>59</v>
      </c>
      <c r="I402" s="1" t="s">
        <v>31</v>
      </c>
      <c r="J402">
        <v>1</v>
      </c>
      <c r="K402">
        <v>412.77</v>
      </c>
      <c r="L402">
        <v>265.69</v>
      </c>
      <c r="M402">
        <v>412.77</v>
      </c>
      <c r="N402">
        <v>147.07999999999998</v>
      </c>
      <c r="O402" s="1" t="s">
        <v>32</v>
      </c>
      <c r="P402" s="1" t="s">
        <v>88</v>
      </c>
      <c r="Q402">
        <v>3</v>
      </c>
    </row>
    <row r="403" spans="1:17" x14ac:dyDescent="0.25">
      <c r="A403" s="1" t="s">
        <v>834</v>
      </c>
      <c r="B403" s="2">
        <v>46144</v>
      </c>
      <c r="C403">
        <v>2026</v>
      </c>
      <c r="D403" s="1" t="s">
        <v>462</v>
      </c>
      <c r="E403" s="1" t="s">
        <v>201</v>
      </c>
      <c r="F403" s="1" t="s">
        <v>363</v>
      </c>
      <c r="G403" s="1" t="s">
        <v>364</v>
      </c>
      <c r="H403" s="1" t="s">
        <v>78</v>
      </c>
      <c r="I403" s="1" t="s">
        <v>46</v>
      </c>
      <c r="J403">
        <v>10</v>
      </c>
      <c r="K403">
        <v>180.01</v>
      </c>
      <c r="L403">
        <v>1096.32</v>
      </c>
      <c r="M403">
        <v>1800.1</v>
      </c>
      <c r="N403">
        <v>703.78</v>
      </c>
      <c r="O403" s="1" t="s">
        <v>47</v>
      </c>
      <c r="P403" s="1" t="s">
        <v>92</v>
      </c>
      <c r="Q403">
        <v>5</v>
      </c>
    </row>
    <row r="404" spans="1:17" x14ac:dyDescent="0.25">
      <c r="A404" s="1" t="s">
        <v>835</v>
      </c>
      <c r="B404" s="2">
        <v>46314</v>
      </c>
      <c r="C404">
        <v>2026</v>
      </c>
      <c r="D404" s="1" t="s">
        <v>284</v>
      </c>
      <c r="E404" s="1" t="s">
        <v>541</v>
      </c>
      <c r="F404" s="1" t="s">
        <v>105</v>
      </c>
      <c r="G404" s="1" t="s">
        <v>106</v>
      </c>
      <c r="H404" s="1" t="s">
        <v>78</v>
      </c>
      <c r="I404" s="1" t="s">
        <v>31</v>
      </c>
      <c r="J404">
        <v>15</v>
      </c>
      <c r="K404">
        <v>464.76</v>
      </c>
      <c r="L404">
        <v>3971.18</v>
      </c>
      <c r="M404">
        <v>6971.4</v>
      </c>
      <c r="N404">
        <v>3000.22</v>
      </c>
      <c r="O404" s="1" t="s">
        <v>52</v>
      </c>
      <c r="P404" s="1" t="s">
        <v>53</v>
      </c>
      <c r="Q404">
        <v>10</v>
      </c>
    </row>
    <row r="405" spans="1:17" x14ac:dyDescent="0.25">
      <c r="A405" s="1" t="s">
        <v>836</v>
      </c>
      <c r="B405" s="2">
        <v>46234</v>
      </c>
      <c r="C405">
        <v>2026</v>
      </c>
      <c r="D405" s="1" t="s">
        <v>238</v>
      </c>
      <c r="E405" s="1" t="s">
        <v>253</v>
      </c>
      <c r="F405" s="1" t="s">
        <v>363</v>
      </c>
      <c r="G405" s="1" t="s">
        <v>364</v>
      </c>
      <c r="H405" s="1" t="s">
        <v>78</v>
      </c>
      <c r="I405" s="1" t="s">
        <v>60</v>
      </c>
      <c r="J405">
        <v>4</v>
      </c>
      <c r="K405">
        <v>332.17</v>
      </c>
      <c r="L405">
        <v>865.37</v>
      </c>
      <c r="M405">
        <v>1328.68</v>
      </c>
      <c r="N405">
        <v>463.31000000000006</v>
      </c>
      <c r="O405" s="1" t="s">
        <v>24</v>
      </c>
      <c r="P405" s="1" t="s">
        <v>25</v>
      </c>
      <c r="Q405">
        <v>7</v>
      </c>
    </row>
    <row r="406" spans="1:17" x14ac:dyDescent="0.25">
      <c r="A406" s="1" t="s">
        <v>837</v>
      </c>
      <c r="B406" s="2">
        <v>46259</v>
      </c>
      <c r="C406">
        <v>2026</v>
      </c>
      <c r="D406" s="1" t="s">
        <v>284</v>
      </c>
      <c r="E406" s="1" t="s">
        <v>618</v>
      </c>
      <c r="F406" s="1" t="s">
        <v>109</v>
      </c>
      <c r="G406" s="1" t="s">
        <v>110</v>
      </c>
      <c r="H406" s="1" t="s">
        <v>111</v>
      </c>
      <c r="I406" s="1" t="s">
        <v>31</v>
      </c>
      <c r="J406">
        <v>8</v>
      </c>
      <c r="K406">
        <v>439.12</v>
      </c>
      <c r="L406">
        <v>2010.79</v>
      </c>
      <c r="M406">
        <v>3512.96</v>
      </c>
      <c r="N406">
        <v>1502.17</v>
      </c>
      <c r="O406" s="1" t="s">
        <v>24</v>
      </c>
      <c r="P406" s="1" t="s">
        <v>101</v>
      </c>
      <c r="Q406">
        <v>8</v>
      </c>
    </row>
    <row r="407" spans="1:17" x14ac:dyDescent="0.25">
      <c r="A407" s="1" t="s">
        <v>838</v>
      </c>
      <c r="B407" s="2">
        <v>46307</v>
      </c>
      <c r="C407">
        <v>2026</v>
      </c>
      <c r="D407" s="1" t="s">
        <v>103</v>
      </c>
      <c r="E407" s="1" t="s">
        <v>839</v>
      </c>
      <c r="F407" s="1" t="s">
        <v>206</v>
      </c>
      <c r="G407" s="1" t="s">
        <v>207</v>
      </c>
      <c r="H407" s="1" t="s">
        <v>39</v>
      </c>
      <c r="I407" s="1" t="s">
        <v>60</v>
      </c>
      <c r="J407">
        <v>6</v>
      </c>
      <c r="K407">
        <v>486.94</v>
      </c>
      <c r="L407">
        <v>2221.14</v>
      </c>
      <c r="M407">
        <v>2921.64</v>
      </c>
      <c r="N407">
        <v>700.5</v>
      </c>
      <c r="O407" s="1" t="s">
        <v>52</v>
      </c>
      <c r="P407" s="1" t="s">
        <v>53</v>
      </c>
      <c r="Q407">
        <v>10</v>
      </c>
    </row>
    <row r="408" spans="1:17" x14ac:dyDescent="0.25">
      <c r="A408" s="1" t="s">
        <v>840</v>
      </c>
      <c r="B408" s="2">
        <v>46335</v>
      </c>
      <c r="C408">
        <v>2026</v>
      </c>
      <c r="D408" s="1" t="s">
        <v>252</v>
      </c>
      <c r="E408" s="1" t="s">
        <v>124</v>
      </c>
      <c r="F408" s="1" t="s">
        <v>82</v>
      </c>
      <c r="G408" s="1" t="s">
        <v>83</v>
      </c>
      <c r="H408" s="1" t="s">
        <v>45</v>
      </c>
      <c r="I408" s="1" t="s">
        <v>46</v>
      </c>
      <c r="J408">
        <v>7</v>
      </c>
      <c r="K408">
        <v>336.86</v>
      </c>
      <c r="L408">
        <v>1327.76</v>
      </c>
      <c r="M408">
        <v>2358.02</v>
      </c>
      <c r="N408">
        <v>1030.26</v>
      </c>
      <c r="O408" s="1" t="s">
        <v>52</v>
      </c>
      <c r="P408" s="1" t="s">
        <v>134</v>
      </c>
      <c r="Q408">
        <v>11</v>
      </c>
    </row>
    <row r="409" spans="1:17" x14ac:dyDescent="0.25">
      <c r="A409" s="1" t="s">
        <v>841</v>
      </c>
      <c r="B409" s="2">
        <v>46386</v>
      </c>
      <c r="C409">
        <v>2026</v>
      </c>
      <c r="D409" s="1" t="s">
        <v>676</v>
      </c>
      <c r="E409" s="1" t="s">
        <v>570</v>
      </c>
      <c r="F409" s="1" t="s">
        <v>329</v>
      </c>
      <c r="G409" s="1" t="s">
        <v>330</v>
      </c>
      <c r="H409" s="1" t="s">
        <v>78</v>
      </c>
      <c r="I409" s="1" t="s">
        <v>31</v>
      </c>
      <c r="J409">
        <v>17</v>
      </c>
      <c r="K409">
        <v>61.13</v>
      </c>
      <c r="L409">
        <v>679.37</v>
      </c>
      <c r="M409">
        <v>1039.21</v>
      </c>
      <c r="N409">
        <v>359.84000000000003</v>
      </c>
      <c r="O409" s="1" t="s">
        <v>52</v>
      </c>
      <c r="P409" s="1" t="s">
        <v>67</v>
      </c>
      <c r="Q409">
        <v>12</v>
      </c>
    </row>
    <row r="410" spans="1:17" x14ac:dyDescent="0.25">
      <c r="A410" s="1" t="s">
        <v>842</v>
      </c>
      <c r="B410" s="2">
        <v>46310</v>
      </c>
      <c r="C410">
        <v>2026</v>
      </c>
      <c r="D410" s="1" t="s">
        <v>524</v>
      </c>
      <c r="E410" s="1" t="s">
        <v>555</v>
      </c>
      <c r="F410" s="1" t="s">
        <v>149</v>
      </c>
      <c r="G410" s="1" t="s">
        <v>150</v>
      </c>
      <c r="H410" s="1" t="s">
        <v>22</v>
      </c>
      <c r="I410" s="1" t="s">
        <v>23</v>
      </c>
      <c r="J410">
        <v>11</v>
      </c>
      <c r="K410">
        <v>58.38</v>
      </c>
      <c r="L410">
        <v>506.39</v>
      </c>
      <c r="M410">
        <v>642.18000000000006</v>
      </c>
      <c r="N410">
        <v>135.79000000000008</v>
      </c>
      <c r="O410" s="1" t="s">
        <v>52</v>
      </c>
      <c r="P410" s="1" t="s">
        <v>53</v>
      </c>
      <c r="Q410">
        <v>10</v>
      </c>
    </row>
    <row r="411" spans="1:17" x14ac:dyDescent="0.25">
      <c r="A411" s="1" t="s">
        <v>843</v>
      </c>
      <c r="B411" s="2">
        <v>46320</v>
      </c>
      <c r="C411">
        <v>2026</v>
      </c>
      <c r="D411" s="1" t="s">
        <v>196</v>
      </c>
      <c r="E411" s="1" t="s">
        <v>477</v>
      </c>
      <c r="F411" s="1" t="s">
        <v>456</v>
      </c>
      <c r="G411" s="1" t="s">
        <v>457</v>
      </c>
      <c r="H411" s="1" t="s">
        <v>111</v>
      </c>
      <c r="I411" s="1" t="s">
        <v>46</v>
      </c>
      <c r="J411">
        <v>14</v>
      </c>
      <c r="K411">
        <v>393.95</v>
      </c>
      <c r="L411">
        <v>3223.9</v>
      </c>
      <c r="M411">
        <v>5515.3</v>
      </c>
      <c r="N411">
        <v>2291.4</v>
      </c>
      <c r="O411" s="1" t="s">
        <v>52</v>
      </c>
      <c r="P411" s="1" t="s">
        <v>53</v>
      </c>
      <c r="Q411">
        <v>10</v>
      </c>
    </row>
    <row r="412" spans="1:17" x14ac:dyDescent="0.25">
      <c r="A412" s="1" t="s">
        <v>844</v>
      </c>
      <c r="B412" s="2">
        <v>46211</v>
      </c>
      <c r="C412">
        <v>2026</v>
      </c>
      <c r="D412" s="1" t="s">
        <v>845</v>
      </c>
      <c r="E412" s="1" t="s">
        <v>455</v>
      </c>
      <c r="F412" s="1" t="s">
        <v>211</v>
      </c>
      <c r="G412" s="1" t="s">
        <v>212</v>
      </c>
      <c r="H412" s="1" t="s">
        <v>39</v>
      </c>
      <c r="I412" s="1" t="s">
        <v>23</v>
      </c>
      <c r="J412">
        <v>17</v>
      </c>
      <c r="K412">
        <v>40.25</v>
      </c>
      <c r="L412">
        <v>563.83000000000004</v>
      </c>
      <c r="M412">
        <v>684.25</v>
      </c>
      <c r="N412">
        <v>120.41999999999996</v>
      </c>
      <c r="O412" s="1" t="s">
        <v>24</v>
      </c>
      <c r="P412" s="1" t="s">
        <v>25</v>
      </c>
      <c r="Q412">
        <v>7</v>
      </c>
    </row>
    <row r="413" spans="1:17" x14ac:dyDescent="0.25">
      <c r="A413" s="1" t="s">
        <v>846</v>
      </c>
      <c r="B413" s="2">
        <v>46062</v>
      </c>
      <c r="C413">
        <v>2026</v>
      </c>
      <c r="D413" s="1" t="s">
        <v>450</v>
      </c>
      <c r="E413" s="1" t="s">
        <v>847</v>
      </c>
      <c r="F413" s="1" t="s">
        <v>185</v>
      </c>
      <c r="G413" s="1" t="s">
        <v>186</v>
      </c>
      <c r="H413" s="1" t="s">
        <v>22</v>
      </c>
      <c r="I413" s="1" t="s">
        <v>31</v>
      </c>
      <c r="J413">
        <v>10</v>
      </c>
      <c r="K413">
        <v>69.89</v>
      </c>
      <c r="L413">
        <v>420.11</v>
      </c>
      <c r="M413">
        <v>698.9</v>
      </c>
      <c r="N413">
        <v>278.78999999999996</v>
      </c>
      <c r="O413" s="1" t="s">
        <v>32</v>
      </c>
      <c r="P413" s="1" t="s">
        <v>84</v>
      </c>
      <c r="Q413">
        <v>2</v>
      </c>
    </row>
    <row r="414" spans="1:17" x14ac:dyDescent="0.25">
      <c r="A414" s="1" t="s">
        <v>848</v>
      </c>
      <c r="B414" s="2">
        <v>46296</v>
      </c>
      <c r="C414">
        <v>2026</v>
      </c>
      <c r="D414" s="1" t="s">
        <v>27</v>
      </c>
      <c r="E414" s="1" t="s">
        <v>849</v>
      </c>
      <c r="F414" s="1" t="s">
        <v>169</v>
      </c>
      <c r="G414" s="1" t="s">
        <v>170</v>
      </c>
      <c r="H414" s="1" t="s">
        <v>78</v>
      </c>
      <c r="I414" s="1" t="s">
        <v>23</v>
      </c>
      <c r="J414">
        <v>11</v>
      </c>
      <c r="K414">
        <v>145.1</v>
      </c>
      <c r="L414">
        <v>1180.55</v>
      </c>
      <c r="M414">
        <v>1596.1</v>
      </c>
      <c r="N414">
        <v>415.54999999999995</v>
      </c>
      <c r="O414" s="1" t="s">
        <v>52</v>
      </c>
      <c r="P414" s="1" t="s">
        <v>53</v>
      </c>
      <c r="Q414">
        <v>10</v>
      </c>
    </row>
    <row r="415" spans="1:17" x14ac:dyDescent="0.25">
      <c r="A415" s="1" t="s">
        <v>850</v>
      </c>
      <c r="B415" s="2">
        <v>46350</v>
      </c>
      <c r="C415">
        <v>2026</v>
      </c>
      <c r="D415" s="1" t="s">
        <v>63</v>
      </c>
      <c r="E415" s="1" t="s">
        <v>618</v>
      </c>
      <c r="F415" s="1" t="s">
        <v>456</v>
      </c>
      <c r="G415" s="1" t="s">
        <v>457</v>
      </c>
      <c r="H415" s="1" t="s">
        <v>111</v>
      </c>
      <c r="I415" s="1" t="s">
        <v>46</v>
      </c>
      <c r="J415">
        <v>5</v>
      </c>
      <c r="K415">
        <v>156.69999999999999</v>
      </c>
      <c r="L415">
        <v>578.53</v>
      </c>
      <c r="M415">
        <v>783.5</v>
      </c>
      <c r="N415">
        <v>204.97000000000003</v>
      </c>
      <c r="O415" s="1" t="s">
        <v>52</v>
      </c>
      <c r="P415" s="1" t="s">
        <v>134</v>
      </c>
      <c r="Q415">
        <v>11</v>
      </c>
    </row>
    <row r="416" spans="1:17" x14ac:dyDescent="0.25">
      <c r="A416" s="1" t="s">
        <v>851</v>
      </c>
      <c r="B416" s="2">
        <v>46223</v>
      </c>
      <c r="C416">
        <v>2026</v>
      </c>
      <c r="D416" s="1" t="s">
        <v>225</v>
      </c>
      <c r="E416" s="1" t="s">
        <v>839</v>
      </c>
      <c r="F416" s="1" t="s">
        <v>257</v>
      </c>
      <c r="G416" s="1" t="s">
        <v>258</v>
      </c>
      <c r="H416" s="1" t="s">
        <v>39</v>
      </c>
      <c r="I416" s="1" t="s">
        <v>60</v>
      </c>
      <c r="J416">
        <v>8</v>
      </c>
      <c r="K416">
        <v>344.5</v>
      </c>
      <c r="L416">
        <v>1598.47</v>
      </c>
      <c r="M416">
        <v>2756</v>
      </c>
      <c r="N416">
        <v>1157.53</v>
      </c>
      <c r="O416" s="1" t="s">
        <v>24</v>
      </c>
      <c r="P416" s="1" t="s">
        <v>25</v>
      </c>
      <c r="Q416">
        <v>7</v>
      </c>
    </row>
    <row r="417" spans="1:17" x14ac:dyDescent="0.25">
      <c r="A417" s="1" t="s">
        <v>852</v>
      </c>
      <c r="B417" s="2">
        <v>46358</v>
      </c>
      <c r="C417">
        <v>2026</v>
      </c>
      <c r="D417" s="1" t="s">
        <v>123</v>
      </c>
      <c r="E417" s="1" t="s">
        <v>402</v>
      </c>
      <c r="F417" s="1" t="s">
        <v>500</v>
      </c>
      <c r="G417" s="1" t="s">
        <v>501</v>
      </c>
      <c r="H417" s="1" t="s">
        <v>111</v>
      </c>
      <c r="I417" s="1" t="s">
        <v>31</v>
      </c>
      <c r="J417">
        <v>10</v>
      </c>
      <c r="K417">
        <v>184.53</v>
      </c>
      <c r="L417">
        <v>1402.27</v>
      </c>
      <c r="M417">
        <v>1845.3</v>
      </c>
      <c r="N417">
        <v>443.03</v>
      </c>
      <c r="O417" s="1" t="s">
        <v>52</v>
      </c>
      <c r="P417" s="1" t="s">
        <v>67</v>
      </c>
      <c r="Q417">
        <v>12</v>
      </c>
    </row>
    <row r="418" spans="1:17" x14ac:dyDescent="0.25">
      <c r="A418" s="1" t="s">
        <v>853</v>
      </c>
      <c r="B418" s="2">
        <v>46336</v>
      </c>
      <c r="C418">
        <v>2026</v>
      </c>
      <c r="D418" s="1" t="s">
        <v>173</v>
      </c>
      <c r="E418" s="1" t="s">
        <v>127</v>
      </c>
      <c r="F418" s="1" t="s">
        <v>29</v>
      </c>
      <c r="G418" s="1" t="s">
        <v>30</v>
      </c>
      <c r="H418" s="1" t="s">
        <v>22</v>
      </c>
      <c r="I418" s="1" t="s">
        <v>23</v>
      </c>
      <c r="J418">
        <v>12</v>
      </c>
      <c r="K418">
        <v>199.98</v>
      </c>
      <c r="L418">
        <v>1647.19</v>
      </c>
      <c r="M418">
        <v>2399.7599999999998</v>
      </c>
      <c r="N418">
        <v>752.56999999999971</v>
      </c>
      <c r="O418" s="1" t="s">
        <v>52</v>
      </c>
      <c r="P418" s="1" t="s">
        <v>134</v>
      </c>
      <c r="Q418">
        <v>11</v>
      </c>
    </row>
    <row r="419" spans="1:17" x14ac:dyDescent="0.25">
      <c r="A419" s="1" t="s">
        <v>854</v>
      </c>
      <c r="B419" s="2">
        <v>46095</v>
      </c>
      <c r="C419">
        <v>2026</v>
      </c>
      <c r="D419" s="1" t="s">
        <v>845</v>
      </c>
      <c r="E419" s="1" t="s">
        <v>855</v>
      </c>
      <c r="F419" s="1" t="s">
        <v>179</v>
      </c>
      <c r="G419" s="1" t="s">
        <v>180</v>
      </c>
      <c r="H419" s="1" t="s">
        <v>78</v>
      </c>
      <c r="I419" s="1" t="s">
        <v>23</v>
      </c>
      <c r="J419">
        <v>12</v>
      </c>
      <c r="K419">
        <v>245.29</v>
      </c>
      <c r="L419">
        <v>2053.31</v>
      </c>
      <c r="M419">
        <v>2943.48</v>
      </c>
      <c r="N419">
        <v>890.17000000000007</v>
      </c>
      <c r="O419" s="1" t="s">
        <v>32</v>
      </c>
      <c r="P419" s="1" t="s">
        <v>88</v>
      </c>
      <c r="Q419">
        <v>3</v>
      </c>
    </row>
    <row r="420" spans="1:17" x14ac:dyDescent="0.25">
      <c r="A420" s="1" t="s">
        <v>856</v>
      </c>
      <c r="B420" s="2">
        <v>46135</v>
      </c>
      <c r="C420">
        <v>2026</v>
      </c>
      <c r="D420" s="1" t="s">
        <v>173</v>
      </c>
      <c r="E420" s="1" t="s">
        <v>305</v>
      </c>
      <c r="F420" s="1" t="s">
        <v>309</v>
      </c>
      <c r="G420" s="1" t="s">
        <v>310</v>
      </c>
      <c r="H420" s="1" t="s">
        <v>78</v>
      </c>
      <c r="I420" s="1" t="s">
        <v>60</v>
      </c>
      <c r="J420">
        <v>12</v>
      </c>
      <c r="K420">
        <v>91.77</v>
      </c>
      <c r="L420">
        <v>634.57000000000005</v>
      </c>
      <c r="M420">
        <v>1101.24</v>
      </c>
      <c r="N420">
        <v>466.66999999999996</v>
      </c>
      <c r="O420" s="1" t="s">
        <v>47</v>
      </c>
      <c r="P420" s="1" t="s">
        <v>48</v>
      </c>
      <c r="Q420">
        <v>4</v>
      </c>
    </row>
    <row r="421" spans="1:17" x14ac:dyDescent="0.25">
      <c r="A421" s="1" t="s">
        <v>857</v>
      </c>
      <c r="B421" s="2">
        <v>46165</v>
      </c>
      <c r="C421">
        <v>2026</v>
      </c>
      <c r="D421" s="1" t="s">
        <v>35</v>
      </c>
      <c r="E421" s="1" t="s">
        <v>687</v>
      </c>
      <c r="F421" s="1" t="s">
        <v>179</v>
      </c>
      <c r="G421" s="1" t="s">
        <v>180</v>
      </c>
      <c r="H421" s="1" t="s">
        <v>78</v>
      </c>
      <c r="I421" s="1" t="s">
        <v>60</v>
      </c>
      <c r="J421">
        <v>20</v>
      </c>
      <c r="K421">
        <v>255.87</v>
      </c>
      <c r="L421">
        <v>3067.13</v>
      </c>
      <c r="M421">
        <v>5117.3999999999996</v>
      </c>
      <c r="N421">
        <v>2050.2699999999995</v>
      </c>
      <c r="O421" s="1" t="s">
        <v>47</v>
      </c>
      <c r="P421" s="1" t="s">
        <v>92</v>
      </c>
      <c r="Q421">
        <v>5</v>
      </c>
    </row>
    <row r="422" spans="1:17" x14ac:dyDescent="0.25">
      <c r="A422" s="1" t="s">
        <v>858</v>
      </c>
      <c r="B422" s="2">
        <v>46271</v>
      </c>
      <c r="C422">
        <v>2026</v>
      </c>
      <c r="D422" s="1" t="s">
        <v>126</v>
      </c>
      <c r="E422" s="1" t="s">
        <v>239</v>
      </c>
      <c r="F422" s="1" t="s">
        <v>415</v>
      </c>
      <c r="G422" s="1" t="s">
        <v>416</v>
      </c>
      <c r="H422" s="1" t="s">
        <v>22</v>
      </c>
      <c r="I422" s="1" t="s">
        <v>23</v>
      </c>
      <c r="J422">
        <v>2</v>
      </c>
      <c r="K422">
        <v>187.76</v>
      </c>
      <c r="L422">
        <v>246.69</v>
      </c>
      <c r="M422">
        <v>375.52</v>
      </c>
      <c r="N422">
        <v>128.82999999999998</v>
      </c>
      <c r="O422" s="1" t="s">
        <v>24</v>
      </c>
      <c r="P422" s="1" t="s">
        <v>61</v>
      </c>
      <c r="Q422">
        <v>9</v>
      </c>
    </row>
    <row r="423" spans="1:17" x14ac:dyDescent="0.25">
      <c r="A423" s="1" t="s">
        <v>859</v>
      </c>
      <c r="B423" s="2">
        <v>46379</v>
      </c>
      <c r="C423">
        <v>2026</v>
      </c>
      <c r="D423" s="1" t="s">
        <v>420</v>
      </c>
      <c r="E423" s="1" t="s">
        <v>143</v>
      </c>
      <c r="F423" s="1" t="s">
        <v>105</v>
      </c>
      <c r="G423" s="1" t="s">
        <v>106</v>
      </c>
      <c r="H423" s="1" t="s">
        <v>78</v>
      </c>
      <c r="I423" s="1" t="s">
        <v>46</v>
      </c>
      <c r="J423">
        <v>15</v>
      </c>
      <c r="K423">
        <v>150.11000000000001</v>
      </c>
      <c r="L423">
        <v>1497.83</v>
      </c>
      <c r="M423">
        <v>2251.65</v>
      </c>
      <c r="N423">
        <v>753.82000000000016</v>
      </c>
      <c r="O423" s="1" t="s">
        <v>52</v>
      </c>
      <c r="P423" s="1" t="s">
        <v>67</v>
      </c>
      <c r="Q423">
        <v>12</v>
      </c>
    </row>
    <row r="424" spans="1:17" x14ac:dyDescent="0.25">
      <c r="A424" s="1" t="s">
        <v>860</v>
      </c>
      <c r="B424" s="2">
        <v>46250</v>
      </c>
      <c r="C424">
        <v>2026</v>
      </c>
      <c r="D424" s="1" t="s">
        <v>300</v>
      </c>
      <c r="E424" s="1" t="s">
        <v>448</v>
      </c>
      <c r="F424" s="1" t="s">
        <v>20</v>
      </c>
      <c r="G424" s="1" t="s">
        <v>21</v>
      </c>
      <c r="H424" s="1" t="s">
        <v>22</v>
      </c>
      <c r="I424" s="1" t="s">
        <v>46</v>
      </c>
      <c r="J424">
        <v>15</v>
      </c>
      <c r="K424">
        <v>150.97999999999999</v>
      </c>
      <c r="L424">
        <v>1297.3</v>
      </c>
      <c r="M424">
        <v>2264.6999999999998</v>
      </c>
      <c r="N424">
        <v>967.39999999999986</v>
      </c>
      <c r="O424" s="1" t="s">
        <v>24</v>
      </c>
      <c r="P424" s="1" t="s">
        <v>101</v>
      </c>
      <c r="Q424">
        <v>8</v>
      </c>
    </row>
    <row r="425" spans="1:17" x14ac:dyDescent="0.25">
      <c r="A425" s="1" t="s">
        <v>861</v>
      </c>
      <c r="B425" s="2">
        <v>46210</v>
      </c>
      <c r="C425">
        <v>2026</v>
      </c>
      <c r="D425" s="1" t="s">
        <v>373</v>
      </c>
      <c r="E425" s="1" t="s">
        <v>268</v>
      </c>
      <c r="F425" s="1" t="s">
        <v>363</v>
      </c>
      <c r="G425" s="1" t="s">
        <v>364</v>
      </c>
      <c r="H425" s="1" t="s">
        <v>78</v>
      </c>
      <c r="I425" s="1" t="s">
        <v>31</v>
      </c>
      <c r="J425">
        <v>3</v>
      </c>
      <c r="K425">
        <v>284.04000000000002</v>
      </c>
      <c r="L425">
        <v>613.94000000000005</v>
      </c>
      <c r="M425">
        <v>852.12000000000012</v>
      </c>
      <c r="N425">
        <v>238.18000000000006</v>
      </c>
      <c r="O425" s="1" t="s">
        <v>24</v>
      </c>
      <c r="P425" s="1" t="s">
        <v>25</v>
      </c>
      <c r="Q425">
        <v>7</v>
      </c>
    </row>
    <row r="426" spans="1:17" x14ac:dyDescent="0.25">
      <c r="A426" s="1" t="s">
        <v>862</v>
      </c>
      <c r="B426" s="2">
        <v>46144</v>
      </c>
      <c r="C426">
        <v>2026</v>
      </c>
      <c r="D426" s="1" t="s">
        <v>260</v>
      </c>
      <c r="E426" s="1" t="s">
        <v>313</v>
      </c>
      <c r="F426" s="1" t="s">
        <v>249</v>
      </c>
      <c r="G426" s="1" t="s">
        <v>250</v>
      </c>
      <c r="H426" s="1" t="s">
        <v>59</v>
      </c>
      <c r="I426" s="1" t="s">
        <v>23</v>
      </c>
      <c r="J426">
        <v>13</v>
      </c>
      <c r="K426">
        <v>379.63</v>
      </c>
      <c r="L426">
        <v>3950.52</v>
      </c>
      <c r="M426">
        <v>4935.1899999999996</v>
      </c>
      <c r="N426">
        <v>984.66999999999962</v>
      </c>
      <c r="O426" s="1" t="s">
        <v>47</v>
      </c>
      <c r="P426" s="1" t="s">
        <v>92</v>
      </c>
      <c r="Q426">
        <v>5</v>
      </c>
    </row>
    <row r="427" spans="1:17" x14ac:dyDescent="0.25">
      <c r="A427" s="1" t="s">
        <v>863</v>
      </c>
      <c r="B427" s="2">
        <v>46352</v>
      </c>
      <c r="C427">
        <v>2026</v>
      </c>
      <c r="D427" s="1" t="s">
        <v>273</v>
      </c>
      <c r="E427" s="1" t="s">
        <v>320</v>
      </c>
      <c r="F427" s="1" t="s">
        <v>339</v>
      </c>
      <c r="G427" s="1" t="s">
        <v>340</v>
      </c>
      <c r="H427" s="1" t="s">
        <v>78</v>
      </c>
      <c r="I427" s="1" t="s">
        <v>23</v>
      </c>
      <c r="J427">
        <v>15</v>
      </c>
      <c r="K427">
        <v>485.71</v>
      </c>
      <c r="L427">
        <v>5115.3599999999997</v>
      </c>
      <c r="M427">
        <v>7285.65</v>
      </c>
      <c r="N427">
        <v>2170.29</v>
      </c>
      <c r="O427" s="1" t="s">
        <v>52</v>
      </c>
      <c r="P427" s="1" t="s">
        <v>134</v>
      </c>
      <c r="Q427">
        <v>11</v>
      </c>
    </row>
    <row r="428" spans="1:17" x14ac:dyDescent="0.25">
      <c r="A428" s="1" t="s">
        <v>864</v>
      </c>
      <c r="B428" s="2">
        <v>46327</v>
      </c>
      <c r="C428">
        <v>2026</v>
      </c>
      <c r="D428" s="1" t="s">
        <v>307</v>
      </c>
      <c r="E428" s="1" t="s">
        <v>795</v>
      </c>
      <c r="F428" s="1" t="s">
        <v>43</v>
      </c>
      <c r="G428" s="1" t="s">
        <v>44</v>
      </c>
      <c r="H428" s="1" t="s">
        <v>45</v>
      </c>
      <c r="I428" s="1" t="s">
        <v>60</v>
      </c>
      <c r="J428">
        <v>6</v>
      </c>
      <c r="K428">
        <v>452.93</v>
      </c>
      <c r="L428">
        <v>1660.7</v>
      </c>
      <c r="M428">
        <v>2717.58</v>
      </c>
      <c r="N428">
        <v>1056.8799999999999</v>
      </c>
      <c r="O428" s="1" t="s">
        <v>52</v>
      </c>
      <c r="P428" s="1" t="s">
        <v>134</v>
      </c>
      <c r="Q428">
        <v>11</v>
      </c>
    </row>
    <row r="429" spans="1:17" x14ac:dyDescent="0.25">
      <c r="A429" s="1" t="s">
        <v>865</v>
      </c>
      <c r="B429" s="2">
        <v>46234</v>
      </c>
      <c r="C429">
        <v>2026</v>
      </c>
      <c r="D429" s="1" t="s">
        <v>74</v>
      </c>
      <c r="E429" s="1" t="s">
        <v>396</v>
      </c>
      <c r="F429" s="1" t="s">
        <v>29</v>
      </c>
      <c r="G429" s="1" t="s">
        <v>30</v>
      </c>
      <c r="H429" s="1" t="s">
        <v>22</v>
      </c>
      <c r="I429" s="1" t="s">
        <v>23</v>
      </c>
      <c r="J429">
        <v>12</v>
      </c>
      <c r="K429">
        <v>384.68</v>
      </c>
      <c r="L429">
        <v>2669.8</v>
      </c>
      <c r="M429">
        <v>4616.16</v>
      </c>
      <c r="N429">
        <v>1946.3599999999997</v>
      </c>
      <c r="O429" s="1" t="s">
        <v>24</v>
      </c>
      <c r="P429" s="1" t="s">
        <v>25</v>
      </c>
      <c r="Q429">
        <v>7</v>
      </c>
    </row>
    <row r="430" spans="1:17" x14ac:dyDescent="0.25">
      <c r="A430" s="1" t="s">
        <v>866</v>
      </c>
      <c r="B430" s="2">
        <v>46056</v>
      </c>
      <c r="C430">
        <v>2026</v>
      </c>
      <c r="D430" s="1" t="s">
        <v>646</v>
      </c>
      <c r="E430" s="1" t="s">
        <v>764</v>
      </c>
      <c r="F430" s="1" t="s">
        <v>234</v>
      </c>
      <c r="G430" s="1" t="s">
        <v>235</v>
      </c>
      <c r="H430" s="1" t="s">
        <v>236</v>
      </c>
      <c r="I430" s="1" t="s">
        <v>23</v>
      </c>
      <c r="J430">
        <v>15</v>
      </c>
      <c r="K430">
        <v>75.790000000000006</v>
      </c>
      <c r="L430">
        <v>842.76</v>
      </c>
      <c r="M430">
        <v>1136.8500000000001</v>
      </c>
      <c r="N430">
        <v>294.09000000000015</v>
      </c>
      <c r="O430" s="1" t="s">
        <v>32</v>
      </c>
      <c r="P430" s="1" t="s">
        <v>84</v>
      </c>
      <c r="Q430">
        <v>2</v>
      </c>
    </row>
    <row r="431" spans="1:17" x14ac:dyDescent="0.25">
      <c r="A431" s="1" t="s">
        <v>867</v>
      </c>
      <c r="B431" s="2">
        <v>46094</v>
      </c>
      <c r="C431">
        <v>2026</v>
      </c>
      <c r="D431" s="1" t="s">
        <v>41</v>
      </c>
      <c r="E431" s="1" t="s">
        <v>644</v>
      </c>
      <c r="F431" s="1" t="s">
        <v>333</v>
      </c>
      <c r="G431" s="1" t="s">
        <v>334</v>
      </c>
      <c r="H431" s="1" t="s">
        <v>22</v>
      </c>
      <c r="I431" s="1" t="s">
        <v>23</v>
      </c>
      <c r="J431">
        <v>1</v>
      </c>
      <c r="K431">
        <v>199.87</v>
      </c>
      <c r="L431">
        <v>142.29</v>
      </c>
      <c r="M431">
        <v>199.87</v>
      </c>
      <c r="N431">
        <v>57.580000000000013</v>
      </c>
      <c r="O431" s="1" t="s">
        <v>32</v>
      </c>
      <c r="P431" s="1" t="s">
        <v>88</v>
      </c>
      <c r="Q431">
        <v>3</v>
      </c>
    </row>
    <row r="432" spans="1:17" x14ac:dyDescent="0.25">
      <c r="A432" s="1" t="s">
        <v>868</v>
      </c>
      <c r="B432" s="2">
        <v>46301</v>
      </c>
      <c r="C432">
        <v>2026</v>
      </c>
      <c r="D432" s="1" t="s">
        <v>50</v>
      </c>
      <c r="E432" s="1" t="s">
        <v>647</v>
      </c>
      <c r="F432" s="1" t="s">
        <v>363</v>
      </c>
      <c r="G432" s="1" t="s">
        <v>364</v>
      </c>
      <c r="H432" s="1" t="s">
        <v>78</v>
      </c>
      <c r="I432" s="1" t="s">
        <v>46</v>
      </c>
      <c r="J432">
        <v>9</v>
      </c>
      <c r="K432">
        <v>84.24</v>
      </c>
      <c r="L432">
        <v>534.59</v>
      </c>
      <c r="M432">
        <v>758.16</v>
      </c>
      <c r="N432">
        <v>223.56999999999994</v>
      </c>
      <c r="O432" s="1" t="s">
        <v>52</v>
      </c>
      <c r="P432" s="1" t="s">
        <v>53</v>
      </c>
      <c r="Q432">
        <v>10</v>
      </c>
    </row>
    <row r="433" spans="1:17" x14ac:dyDescent="0.25">
      <c r="A433" s="1" t="s">
        <v>869</v>
      </c>
      <c r="B433" s="2">
        <v>46122</v>
      </c>
      <c r="C433">
        <v>2026</v>
      </c>
      <c r="D433" s="1" t="s">
        <v>248</v>
      </c>
      <c r="E433" s="1" t="s">
        <v>807</v>
      </c>
      <c r="F433" s="1" t="s">
        <v>231</v>
      </c>
      <c r="G433" s="1" t="s">
        <v>232</v>
      </c>
      <c r="H433" s="1" t="s">
        <v>59</v>
      </c>
      <c r="I433" s="1" t="s">
        <v>60</v>
      </c>
      <c r="J433">
        <v>8</v>
      </c>
      <c r="K433">
        <v>407.55</v>
      </c>
      <c r="L433">
        <v>1955.54</v>
      </c>
      <c r="M433">
        <v>3260.4</v>
      </c>
      <c r="N433">
        <v>1304.8600000000001</v>
      </c>
      <c r="O433" s="1" t="s">
        <v>47</v>
      </c>
      <c r="P433" s="1" t="s">
        <v>48</v>
      </c>
      <c r="Q433">
        <v>4</v>
      </c>
    </row>
    <row r="434" spans="1:17" x14ac:dyDescent="0.25">
      <c r="A434" s="1" t="s">
        <v>870</v>
      </c>
      <c r="B434" s="2">
        <v>46331</v>
      </c>
      <c r="C434">
        <v>2026</v>
      </c>
      <c r="D434" s="1" t="s">
        <v>568</v>
      </c>
      <c r="E434" s="1" t="s">
        <v>217</v>
      </c>
      <c r="F434" s="1" t="s">
        <v>179</v>
      </c>
      <c r="G434" s="1" t="s">
        <v>180</v>
      </c>
      <c r="H434" s="1" t="s">
        <v>78</v>
      </c>
      <c r="I434" s="1" t="s">
        <v>31</v>
      </c>
      <c r="J434">
        <v>13</v>
      </c>
      <c r="K434">
        <v>246.01</v>
      </c>
      <c r="L434">
        <v>2619.58</v>
      </c>
      <c r="M434">
        <v>3198.13</v>
      </c>
      <c r="N434">
        <v>578.55000000000018</v>
      </c>
      <c r="O434" s="1" t="s">
        <v>52</v>
      </c>
      <c r="P434" s="1" t="s">
        <v>134</v>
      </c>
      <c r="Q434">
        <v>11</v>
      </c>
    </row>
    <row r="435" spans="1:17" x14ac:dyDescent="0.25">
      <c r="A435" s="1" t="s">
        <v>871</v>
      </c>
      <c r="B435" s="2">
        <v>46306</v>
      </c>
      <c r="C435">
        <v>2026</v>
      </c>
      <c r="D435" s="1" t="s">
        <v>766</v>
      </c>
      <c r="E435" s="1" t="s">
        <v>137</v>
      </c>
      <c r="F435" s="1" t="s">
        <v>206</v>
      </c>
      <c r="G435" s="1" t="s">
        <v>207</v>
      </c>
      <c r="H435" s="1" t="s">
        <v>39</v>
      </c>
      <c r="I435" s="1" t="s">
        <v>23</v>
      </c>
      <c r="J435">
        <v>6</v>
      </c>
      <c r="K435">
        <v>277</v>
      </c>
      <c r="L435">
        <v>1179.8800000000001</v>
      </c>
      <c r="M435">
        <v>1662</v>
      </c>
      <c r="N435">
        <v>482.11999999999989</v>
      </c>
      <c r="O435" s="1" t="s">
        <v>52</v>
      </c>
      <c r="P435" s="1" t="s">
        <v>53</v>
      </c>
      <c r="Q435">
        <v>10</v>
      </c>
    </row>
    <row r="436" spans="1:17" x14ac:dyDescent="0.25">
      <c r="A436" s="1" t="s">
        <v>872</v>
      </c>
      <c r="B436" s="2">
        <v>46152</v>
      </c>
      <c r="C436">
        <v>2026</v>
      </c>
      <c r="D436" s="1" t="s">
        <v>575</v>
      </c>
      <c r="E436" s="1" t="s">
        <v>758</v>
      </c>
      <c r="F436" s="1" t="s">
        <v>309</v>
      </c>
      <c r="G436" s="1" t="s">
        <v>310</v>
      </c>
      <c r="H436" s="1" t="s">
        <v>78</v>
      </c>
      <c r="I436" s="1" t="s">
        <v>46</v>
      </c>
      <c r="J436">
        <v>17</v>
      </c>
      <c r="K436">
        <v>443.24</v>
      </c>
      <c r="L436">
        <v>5410.22</v>
      </c>
      <c r="M436">
        <v>7535.08</v>
      </c>
      <c r="N436">
        <v>2124.8599999999997</v>
      </c>
      <c r="O436" s="1" t="s">
        <v>47</v>
      </c>
      <c r="P436" s="1" t="s">
        <v>92</v>
      </c>
      <c r="Q436">
        <v>5</v>
      </c>
    </row>
    <row r="437" spans="1:17" x14ac:dyDescent="0.25">
      <c r="A437" s="1" t="s">
        <v>873</v>
      </c>
      <c r="B437" s="2">
        <v>46075</v>
      </c>
      <c r="C437">
        <v>2026</v>
      </c>
      <c r="D437" s="1" t="s">
        <v>766</v>
      </c>
      <c r="E437" s="1" t="s">
        <v>184</v>
      </c>
      <c r="F437" s="1" t="s">
        <v>149</v>
      </c>
      <c r="G437" s="1" t="s">
        <v>150</v>
      </c>
      <c r="H437" s="1" t="s">
        <v>22</v>
      </c>
      <c r="I437" s="1" t="s">
        <v>46</v>
      </c>
      <c r="J437">
        <v>4</v>
      </c>
      <c r="K437">
        <v>499.07</v>
      </c>
      <c r="L437">
        <v>1506.94</v>
      </c>
      <c r="M437">
        <v>1996.28</v>
      </c>
      <c r="N437">
        <v>489.33999999999992</v>
      </c>
      <c r="O437" s="1" t="s">
        <v>32</v>
      </c>
      <c r="P437" s="1" t="s">
        <v>84</v>
      </c>
      <c r="Q437">
        <v>2</v>
      </c>
    </row>
    <row r="438" spans="1:17" x14ac:dyDescent="0.25">
      <c r="A438" s="1" t="s">
        <v>874</v>
      </c>
      <c r="B438" s="2">
        <v>46209</v>
      </c>
      <c r="C438">
        <v>2026</v>
      </c>
      <c r="D438" s="1" t="s">
        <v>196</v>
      </c>
      <c r="E438" s="1" t="s">
        <v>119</v>
      </c>
      <c r="F438" s="1" t="s">
        <v>76</v>
      </c>
      <c r="G438" s="1" t="s">
        <v>77</v>
      </c>
      <c r="H438" s="1" t="s">
        <v>78</v>
      </c>
      <c r="I438" s="1" t="s">
        <v>60</v>
      </c>
      <c r="J438">
        <v>7</v>
      </c>
      <c r="K438">
        <v>431.12</v>
      </c>
      <c r="L438">
        <v>2003.11</v>
      </c>
      <c r="M438">
        <v>3017.84</v>
      </c>
      <c r="N438">
        <v>1014.7300000000002</v>
      </c>
      <c r="O438" s="1" t="s">
        <v>24</v>
      </c>
      <c r="P438" s="1" t="s">
        <v>25</v>
      </c>
      <c r="Q438">
        <v>7</v>
      </c>
    </row>
    <row r="439" spans="1:17" x14ac:dyDescent="0.25">
      <c r="A439" s="1" t="s">
        <v>875</v>
      </c>
      <c r="B439" s="2">
        <v>46215</v>
      </c>
      <c r="C439">
        <v>2026</v>
      </c>
      <c r="D439" s="1" t="s">
        <v>243</v>
      </c>
      <c r="E439" s="1" t="s">
        <v>406</v>
      </c>
      <c r="F439" s="1" t="s">
        <v>96</v>
      </c>
      <c r="G439" s="1" t="s">
        <v>97</v>
      </c>
      <c r="H439" s="1" t="s">
        <v>39</v>
      </c>
      <c r="I439" s="1" t="s">
        <v>46</v>
      </c>
      <c r="J439">
        <v>5</v>
      </c>
      <c r="K439">
        <v>81.93</v>
      </c>
      <c r="L439">
        <v>315.45999999999998</v>
      </c>
      <c r="M439">
        <v>409.65000000000003</v>
      </c>
      <c r="N439">
        <v>94.190000000000055</v>
      </c>
      <c r="O439" s="1" t="s">
        <v>24</v>
      </c>
      <c r="P439" s="1" t="s">
        <v>25</v>
      </c>
      <c r="Q439">
        <v>7</v>
      </c>
    </row>
    <row r="440" spans="1:17" x14ac:dyDescent="0.25">
      <c r="A440" s="1" t="s">
        <v>876</v>
      </c>
      <c r="B440" s="2">
        <v>46301</v>
      </c>
      <c r="C440">
        <v>2026</v>
      </c>
      <c r="D440" s="1" t="s">
        <v>431</v>
      </c>
      <c r="E440" s="1" t="s">
        <v>271</v>
      </c>
      <c r="F440" s="1" t="s">
        <v>189</v>
      </c>
      <c r="G440" s="1" t="s">
        <v>190</v>
      </c>
      <c r="H440" s="1" t="s">
        <v>22</v>
      </c>
      <c r="I440" s="1" t="s">
        <v>60</v>
      </c>
      <c r="J440">
        <v>17</v>
      </c>
      <c r="K440">
        <v>201.68</v>
      </c>
      <c r="L440">
        <v>2471.94</v>
      </c>
      <c r="M440">
        <v>3428.56</v>
      </c>
      <c r="N440">
        <v>956.61999999999989</v>
      </c>
      <c r="O440" s="1" t="s">
        <v>52</v>
      </c>
      <c r="P440" s="1" t="s">
        <v>53</v>
      </c>
      <c r="Q440">
        <v>10</v>
      </c>
    </row>
    <row r="441" spans="1:17" x14ac:dyDescent="0.25">
      <c r="A441" s="1" t="s">
        <v>877</v>
      </c>
      <c r="B441" s="2">
        <v>46186</v>
      </c>
      <c r="C441">
        <v>2026</v>
      </c>
      <c r="D441" s="1" t="s">
        <v>414</v>
      </c>
      <c r="E441" s="1" t="s">
        <v>599</v>
      </c>
      <c r="F441" s="1" t="s">
        <v>149</v>
      </c>
      <c r="G441" s="1" t="s">
        <v>150</v>
      </c>
      <c r="H441" s="1" t="s">
        <v>22</v>
      </c>
      <c r="I441" s="1" t="s">
        <v>31</v>
      </c>
      <c r="J441">
        <v>10</v>
      </c>
      <c r="K441">
        <v>448.58</v>
      </c>
      <c r="L441">
        <v>3340.35</v>
      </c>
      <c r="M441">
        <v>4485.8</v>
      </c>
      <c r="N441">
        <v>1145.4500000000003</v>
      </c>
      <c r="O441" s="1" t="s">
        <v>47</v>
      </c>
      <c r="P441" s="1" t="s">
        <v>171</v>
      </c>
      <c r="Q441">
        <v>6</v>
      </c>
    </row>
    <row r="442" spans="1:17" x14ac:dyDescent="0.25">
      <c r="A442" s="1" t="s">
        <v>878</v>
      </c>
      <c r="B442" s="2">
        <v>46248</v>
      </c>
      <c r="C442">
        <v>2026</v>
      </c>
      <c r="D442" s="1" t="s">
        <v>433</v>
      </c>
      <c r="E442" s="1" t="s">
        <v>130</v>
      </c>
      <c r="F442" s="1" t="s">
        <v>249</v>
      </c>
      <c r="G442" s="1" t="s">
        <v>250</v>
      </c>
      <c r="H442" s="1" t="s">
        <v>59</v>
      </c>
      <c r="I442" s="1" t="s">
        <v>46</v>
      </c>
      <c r="J442">
        <v>16</v>
      </c>
      <c r="K442">
        <v>435.02</v>
      </c>
      <c r="L442">
        <v>4877.8999999999996</v>
      </c>
      <c r="M442">
        <v>6960.32</v>
      </c>
      <c r="N442">
        <v>2082.42</v>
      </c>
      <c r="O442" s="1" t="s">
        <v>24</v>
      </c>
      <c r="P442" s="1" t="s">
        <v>101</v>
      </c>
      <c r="Q442">
        <v>8</v>
      </c>
    </row>
    <row r="443" spans="1:17" x14ac:dyDescent="0.25">
      <c r="A443" s="1" t="s">
        <v>879</v>
      </c>
      <c r="B443" s="2">
        <v>46121</v>
      </c>
      <c r="C443">
        <v>2026</v>
      </c>
      <c r="D443" s="1" t="s">
        <v>395</v>
      </c>
      <c r="E443" s="1" t="s">
        <v>706</v>
      </c>
      <c r="F443" s="1" t="s">
        <v>363</v>
      </c>
      <c r="G443" s="1" t="s">
        <v>364</v>
      </c>
      <c r="H443" s="1" t="s">
        <v>78</v>
      </c>
      <c r="I443" s="1" t="s">
        <v>46</v>
      </c>
      <c r="J443">
        <v>12</v>
      </c>
      <c r="K443">
        <v>238.68</v>
      </c>
      <c r="L443">
        <v>1837.93</v>
      </c>
      <c r="M443">
        <v>2864.16</v>
      </c>
      <c r="N443">
        <v>1026.2299999999998</v>
      </c>
      <c r="O443" s="1" t="s">
        <v>47</v>
      </c>
      <c r="P443" s="1" t="s">
        <v>48</v>
      </c>
      <c r="Q443">
        <v>4</v>
      </c>
    </row>
    <row r="444" spans="1:17" x14ac:dyDescent="0.25">
      <c r="A444" s="1" t="s">
        <v>880</v>
      </c>
      <c r="B444" s="2">
        <v>46080</v>
      </c>
      <c r="C444">
        <v>2026</v>
      </c>
      <c r="D444" s="1" t="s">
        <v>881</v>
      </c>
      <c r="E444" s="1" t="s">
        <v>882</v>
      </c>
      <c r="F444" s="1" t="s">
        <v>82</v>
      </c>
      <c r="G444" s="1" t="s">
        <v>83</v>
      </c>
      <c r="H444" s="1" t="s">
        <v>45</v>
      </c>
      <c r="I444" s="1" t="s">
        <v>31</v>
      </c>
      <c r="J444">
        <v>15</v>
      </c>
      <c r="K444">
        <v>267.85000000000002</v>
      </c>
      <c r="L444">
        <v>2735.93</v>
      </c>
      <c r="M444">
        <v>4017.7500000000005</v>
      </c>
      <c r="N444">
        <v>1281.8200000000006</v>
      </c>
      <c r="O444" s="1" t="s">
        <v>32</v>
      </c>
      <c r="P444" s="1" t="s">
        <v>84</v>
      </c>
      <c r="Q444">
        <v>2</v>
      </c>
    </row>
    <row r="445" spans="1:17" x14ac:dyDescent="0.25">
      <c r="A445" s="1" t="s">
        <v>883</v>
      </c>
      <c r="B445" s="2">
        <v>46089</v>
      </c>
      <c r="C445">
        <v>2026</v>
      </c>
      <c r="D445" s="1" t="s">
        <v>393</v>
      </c>
      <c r="E445" s="1" t="s">
        <v>530</v>
      </c>
      <c r="F445" s="1" t="s">
        <v>169</v>
      </c>
      <c r="G445" s="1" t="s">
        <v>170</v>
      </c>
      <c r="H445" s="1" t="s">
        <v>78</v>
      </c>
      <c r="I445" s="1" t="s">
        <v>60</v>
      </c>
      <c r="J445">
        <v>1</v>
      </c>
      <c r="K445">
        <v>412.86</v>
      </c>
      <c r="L445">
        <v>212.96</v>
      </c>
      <c r="M445">
        <v>412.86</v>
      </c>
      <c r="N445">
        <v>199.9</v>
      </c>
      <c r="O445" s="1" t="s">
        <v>32</v>
      </c>
      <c r="P445" s="1" t="s">
        <v>88</v>
      </c>
      <c r="Q445">
        <v>3</v>
      </c>
    </row>
    <row r="446" spans="1:17" x14ac:dyDescent="0.25">
      <c r="A446" s="1" t="s">
        <v>884</v>
      </c>
      <c r="B446" s="2">
        <v>46267</v>
      </c>
      <c r="C446">
        <v>2026</v>
      </c>
      <c r="D446" s="1" t="s">
        <v>378</v>
      </c>
      <c r="E446" s="1" t="s">
        <v>253</v>
      </c>
      <c r="F446" s="1" t="s">
        <v>456</v>
      </c>
      <c r="G446" s="1" t="s">
        <v>457</v>
      </c>
      <c r="H446" s="1" t="s">
        <v>111</v>
      </c>
      <c r="I446" s="1" t="s">
        <v>23</v>
      </c>
      <c r="J446">
        <v>11</v>
      </c>
      <c r="K446">
        <v>35.880000000000003</v>
      </c>
      <c r="L446">
        <v>275.92</v>
      </c>
      <c r="M446">
        <v>394.68</v>
      </c>
      <c r="N446">
        <v>118.75999999999999</v>
      </c>
      <c r="O446" s="1" t="s">
        <v>24</v>
      </c>
      <c r="P446" s="1" t="s">
        <v>61</v>
      </c>
      <c r="Q446">
        <v>9</v>
      </c>
    </row>
    <row r="447" spans="1:17" x14ac:dyDescent="0.25">
      <c r="A447" s="1" t="s">
        <v>885</v>
      </c>
      <c r="B447" s="2">
        <v>46153</v>
      </c>
      <c r="C447">
        <v>2026</v>
      </c>
      <c r="D447" s="1" t="s">
        <v>167</v>
      </c>
      <c r="E447" s="1" t="s">
        <v>285</v>
      </c>
      <c r="F447" s="1" t="s">
        <v>115</v>
      </c>
      <c r="G447" s="1" t="s">
        <v>116</v>
      </c>
      <c r="H447" s="1" t="s">
        <v>22</v>
      </c>
      <c r="I447" s="1" t="s">
        <v>46</v>
      </c>
      <c r="J447">
        <v>2</v>
      </c>
      <c r="K447">
        <v>81.92</v>
      </c>
      <c r="L447">
        <v>97.14</v>
      </c>
      <c r="M447">
        <v>163.84</v>
      </c>
      <c r="N447">
        <v>66.7</v>
      </c>
      <c r="O447" s="1" t="s">
        <v>47</v>
      </c>
      <c r="P447" s="1" t="s">
        <v>92</v>
      </c>
      <c r="Q447">
        <v>5</v>
      </c>
    </row>
    <row r="448" spans="1:17" x14ac:dyDescent="0.25">
      <c r="A448" s="1" t="s">
        <v>886</v>
      </c>
      <c r="B448" s="2">
        <v>46193</v>
      </c>
      <c r="C448">
        <v>2026</v>
      </c>
      <c r="D448" s="1" t="s">
        <v>575</v>
      </c>
      <c r="E448" s="1" t="s">
        <v>168</v>
      </c>
      <c r="F448" s="1" t="s">
        <v>115</v>
      </c>
      <c r="G448" s="1" t="s">
        <v>116</v>
      </c>
      <c r="H448" s="1" t="s">
        <v>22</v>
      </c>
      <c r="I448" s="1" t="s">
        <v>23</v>
      </c>
      <c r="J448">
        <v>15</v>
      </c>
      <c r="K448">
        <v>62.8</v>
      </c>
      <c r="L448">
        <v>587.92999999999995</v>
      </c>
      <c r="M448">
        <v>942</v>
      </c>
      <c r="N448">
        <v>354.07000000000005</v>
      </c>
      <c r="O448" s="1" t="s">
        <v>47</v>
      </c>
      <c r="P448" s="1" t="s">
        <v>171</v>
      </c>
      <c r="Q448">
        <v>6</v>
      </c>
    </row>
    <row r="449" spans="1:17" x14ac:dyDescent="0.25">
      <c r="A449" s="1" t="s">
        <v>887</v>
      </c>
      <c r="B449" s="2">
        <v>46062</v>
      </c>
      <c r="C449">
        <v>2026</v>
      </c>
      <c r="D449" s="1" t="s">
        <v>315</v>
      </c>
      <c r="E449" s="1" t="s">
        <v>726</v>
      </c>
      <c r="F449" s="1" t="s">
        <v>456</v>
      </c>
      <c r="G449" s="1" t="s">
        <v>457</v>
      </c>
      <c r="H449" s="1" t="s">
        <v>111</v>
      </c>
      <c r="I449" s="1" t="s">
        <v>31</v>
      </c>
      <c r="J449">
        <v>3</v>
      </c>
      <c r="K449">
        <v>44.22</v>
      </c>
      <c r="L449">
        <v>96.68</v>
      </c>
      <c r="M449">
        <v>132.66</v>
      </c>
      <c r="N449">
        <v>35.97999999999999</v>
      </c>
      <c r="O449" s="1" t="s">
        <v>32</v>
      </c>
      <c r="P449" s="1" t="s">
        <v>84</v>
      </c>
      <c r="Q449">
        <v>2</v>
      </c>
    </row>
    <row r="450" spans="1:17" x14ac:dyDescent="0.25">
      <c r="A450" s="1" t="s">
        <v>888</v>
      </c>
      <c r="B450" s="2">
        <v>46171</v>
      </c>
      <c r="C450">
        <v>2026</v>
      </c>
      <c r="D450" s="1" t="s">
        <v>575</v>
      </c>
      <c r="E450" s="1" t="s">
        <v>636</v>
      </c>
      <c r="F450" s="1" t="s">
        <v>164</v>
      </c>
      <c r="G450" s="1" t="s">
        <v>165</v>
      </c>
      <c r="H450" s="1" t="s">
        <v>22</v>
      </c>
      <c r="I450" s="1" t="s">
        <v>23</v>
      </c>
      <c r="J450">
        <v>19</v>
      </c>
      <c r="K450">
        <v>304.41000000000003</v>
      </c>
      <c r="L450">
        <v>3243.05</v>
      </c>
      <c r="M450">
        <v>5783.7900000000009</v>
      </c>
      <c r="N450">
        <v>2540.7400000000007</v>
      </c>
      <c r="O450" s="1" t="s">
        <v>47</v>
      </c>
      <c r="P450" s="1" t="s">
        <v>92</v>
      </c>
      <c r="Q450">
        <v>5</v>
      </c>
    </row>
    <row r="451" spans="1:17" x14ac:dyDescent="0.25">
      <c r="A451" s="1" t="s">
        <v>889</v>
      </c>
      <c r="B451" s="2">
        <v>46171</v>
      </c>
      <c r="C451">
        <v>2026</v>
      </c>
      <c r="D451" s="1" t="s">
        <v>279</v>
      </c>
      <c r="E451" s="1" t="s">
        <v>435</v>
      </c>
      <c r="F451" s="1" t="s">
        <v>339</v>
      </c>
      <c r="G451" s="1" t="s">
        <v>340</v>
      </c>
      <c r="H451" s="1" t="s">
        <v>78</v>
      </c>
      <c r="I451" s="1" t="s">
        <v>46</v>
      </c>
      <c r="J451">
        <v>2</v>
      </c>
      <c r="K451">
        <v>421.01</v>
      </c>
      <c r="L451">
        <v>545.1</v>
      </c>
      <c r="M451">
        <v>842.02</v>
      </c>
      <c r="N451">
        <v>296.91999999999996</v>
      </c>
      <c r="O451" s="1" t="s">
        <v>47</v>
      </c>
      <c r="P451" s="1" t="s">
        <v>92</v>
      </c>
      <c r="Q451">
        <v>5</v>
      </c>
    </row>
    <row r="452" spans="1:17" x14ac:dyDescent="0.25">
      <c r="A452" s="1" t="s">
        <v>890</v>
      </c>
      <c r="B452" s="2">
        <v>46285</v>
      </c>
      <c r="C452">
        <v>2026</v>
      </c>
      <c r="D452" s="1" t="s">
        <v>697</v>
      </c>
      <c r="E452" s="1" t="s">
        <v>684</v>
      </c>
      <c r="F452" s="1" t="s">
        <v>415</v>
      </c>
      <c r="G452" s="1" t="s">
        <v>416</v>
      </c>
      <c r="H452" s="1" t="s">
        <v>22</v>
      </c>
      <c r="I452" s="1" t="s">
        <v>60</v>
      </c>
      <c r="J452">
        <v>3</v>
      </c>
      <c r="K452">
        <v>184.97</v>
      </c>
      <c r="L452">
        <v>444.06</v>
      </c>
      <c r="M452">
        <v>554.91</v>
      </c>
      <c r="N452">
        <v>110.84999999999997</v>
      </c>
      <c r="O452" s="1" t="s">
        <v>24</v>
      </c>
      <c r="P452" s="1" t="s">
        <v>61</v>
      </c>
      <c r="Q452">
        <v>9</v>
      </c>
    </row>
    <row r="453" spans="1:17" x14ac:dyDescent="0.25">
      <c r="A453" s="1" t="s">
        <v>891</v>
      </c>
      <c r="B453" s="2">
        <v>46342</v>
      </c>
      <c r="C453">
        <v>2026</v>
      </c>
      <c r="D453" s="1" t="s">
        <v>378</v>
      </c>
      <c r="E453" s="1" t="s">
        <v>516</v>
      </c>
      <c r="F453" s="1" t="s">
        <v>415</v>
      </c>
      <c r="G453" s="1" t="s">
        <v>416</v>
      </c>
      <c r="H453" s="1" t="s">
        <v>22</v>
      </c>
      <c r="I453" s="1" t="s">
        <v>31</v>
      </c>
      <c r="J453">
        <v>5</v>
      </c>
      <c r="K453">
        <v>376.81</v>
      </c>
      <c r="L453">
        <v>1289.8900000000001</v>
      </c>
      <c r="M453">
        <v>1884.05</v>
      </c>
      <c r="N453">
        <v>594.15999999999985</v>
      </c>
      <c r="O453" s="1" t="s">
        <v>52</v>
      </c>
      <c r="P453" s="1" t="s">
        <v>134</v>
      </c>
      <c r="Q453">
        <v>11</v>
      </c>
    </row>
    <row r="454" spans="1:17" x14ac:dyDescent="0.25">
      <c r="A454" s="1" t="s">
        <v>892</v>
      </c>
      <c r="B454" s="2">
        <v>46073</v>
      </c>
      <c r="C454">
        <v>2026</v>
      </c>
      <c r="D454" s="1" t="s">
        <v>433</v>
      </c>
      <c r="E454" s="1" t="s">
        <v>849</v>
      </c>
      <c r="F454" s="1" t="s">
        <v>257</v>
      </c>
      <c r="G454" s="1" t="s">
        <v>258</v>
      </c>
      <c r="H454" s="1" t="s">
        <v>39</v>
      </c>
      <c r="I454" s="1" t="s">
        <v>31</v>
      </c>
      <c r="J454">
        <v>4</v>
      </c>
      <c r="K454">
        <v>182.05</v>
      </c>
      <c r="L454">
        <v>481.49</v>
      </c>
      <c r="M454">
        <v>728.2</v>
      </c>
      <c r="N454">
        <v>246.71000000000004</v>
      </c>
      <c r="O454" s="1" t="s">
        <v>32</v>
      </c>
      <c r="P454" s="1" t="s">
        <v>84</v>
      </c>
      <c r="Q454">
        <v>2</v>
      </c>
    </row>
    <row r="455" spans="1:17" x14ac:dyDescent="0.25">
      <c r="A455" s="1" t="s">
        <v>893</v>
      </c>
      <c r="B455" s="2">
        <v>46050</v>
      </c>
      <c r="C455">
        <v>2026</v>
      </c>
      <c r="D455" s="1" t="s">
        <v>297</v>
      </c>
      <c r="E455" s="1" t="s">
        <v>537</v>
      </c>
      <c r="F455" s="1" t="s">
        <v>249</v>
      </c>
      <c r="G455" s="1" t="s">
        <v>250</v>
      </c>
      <c r="H455" s="1" t="s">
        <v>59</v>
      </c>
      <c r="I455" s="1" t="s">
        <v>60</v>
      </c>
      <c r="J455">
        <v>17</v>
      </c>
      <c r="K455">
        <v>424.2</v>
      </c>
      <c r="L455">
        <v>4515</v>
      </c>
      <c r="M455">
        <v>7211.4</v>
      </c>
      <c r="N455">
        <v>2696.3999999999996</v>
      </c>
      <c r="O455" s="1" t="s">
        <v>32</v>
      </c>
      <c r="P455" s="1" t="s">
        <v>33</v>
      </c>
      <c r="Q455">
        <v>1</v>
      </c>
    </row>
    <row r="456" spans="1:17" x14ac:dyDescent="0.25">
      <c r="A456" s="1" t="s">
        <v>894</v>
      </c>
      <c r="B456" s="2">
        <v>46110</v>
      </c>
      <c r="C456">
        <v>2026</v>
      </c>
      <c r="D456" s="1" t="s">
        <v>514</v>
      </c>
      <c r="E456" s="1" t="s">
        <v>512</v>
      </c>
      <c r="F456" s="1" t="s">
        <v>333</v>
      </c>
      <c r="G456" s="1" t="s">
        <v>334</v>
      </c>
      <c r="H456" s="1" t="s">
        <v>22</v>
      </c>
      <c r="I456" s="1" t="s">
        <v>31</v>
      </c>
      <c r="J456">
        <v>20</v>
      </c>
      <c r="K456">
        <v>261.88</v>
      </c>
      <c r="L456">
        <v>3292.08</v>
      </c>
      <c r="M456">
        <v>5237.6000000000004</v>
      </c>
      <c r="N456">
        <v>1945.5200000000004</v>
      </c>
      <c r="O456" s="1" t="s">
        <v>32</v>
      </c>
      <c r="P456" s="1" t="s">
        <v>88</v>
      </c>
      <c r="Q456">
        <v>3</v>
      </c>
    </row>
    <row r="457" spans="1:17" x14ac:dyDescent="0.25">
      <c r="A457" s="1" t="s">
        <v>895</v>
      </c>
      <c r="B457" s="2">
        <v>46318</v>
      </c>
      <c r="C457">
        <v>2026</v>
      </c>
      <c r="D457" s="1" t="s">
        <v>393</v>
      </c>
      <c r="E457" s="1" t="s">
        <v>573</v>
      </c>
      <c r="F457" s="1" t="s">
        <v>399</v>
      </c>
      <c r="G457" s="1" t="s">
        <v>400</v>
      </c>
      <c r="H457" s="1" t="s">
        <v>236</v>
      </c>
      <c r="I457" s="1" t="s">
        <v>46</v>
      </c>
      <c r="J457">
        <v>12</v>
      </c>
      <c r="K457">
        <v>269.75</v>
      </c>
      <c r="L457">
        <v>1852.24</v>
      </c>
      <c r="M457">
        <v>3237</v>
      </c>
      <c r="N457">
        <v>1384.76</v>
      </c>
      <c r="O457" s="1" t="s">
        <v>52</v>
      </c>
      <c r="P457" s="1" t="s">
        <v>53</v>
      </c>
      <c r="Q457">
        <v>10</v>
      </c>
    </row>
    <row r="458" spans="1:17" x14ac:dyDescent="0.25">
      <c r="A458" s="1" t="s">
        <v>896</v>
      </c>
      <c r="B458" s="2">
        <v>46027</v>
      </c>
      <c r="C458">
        <v>2026</v>
      </c>
      <c r="D458" s="1" t="s">
        <v>546</v>
      </c>
      <c r="E458" s="1" t="s">
        <v>354</v>
      </c>
      <c r="F458" s="1" t="s">
        <v>105</v>
      </c>
      <c r="G458" s="1" t="s">
        <v>106</v>
      </c>
      <c r="H458" s="1" t="s">
        <v>78</v>
      </c>
      <c r="I458" s="1" t="s">
        <v>31</v>
      </c>
      <c r="J458">
        <v>8</v>
      </c>
      <c r="K458">
        <v>419.86</v>
      </c>
      <c r="L458">
        <v>2222.79</v>
      </c>
      <c r="M458">
        <v>3358.88</v>
      </c>
      <c r="N458">
        <v>1136.0900000000001</v>
      </c>
      <c r="O458" s="1" t="s">
        <v>32</v>
      </c>
      <c r="P458" s="1" t="s">
        <v>33</v>
      </c>
      <c r="Q458">
        <v>1</v>
      </c>
    </row>
    <row r="459" spans="1:17" x14ac:dyDescent="0.25">
      <c r="A459" s="1" t="s">
        <v>897</v>
      </c>
      <c r="B459" s="2">
        <v>46370</v>
      </c>
      <c r="C459">
        <v>2026</v>
      </c>
      <c r="D459" s="1" t="s">
        <v>629</v>
      </c>
      <c r="E459" s="1" t="s">
        <v>418</v>
      </c>
      <c r="F459" s="1" t="s">
        <v>249</v>
      </c>
      <c r="G459" s="1" t="s">
        <v>250</v>
      </c>
      <c r="H459" s="1" t="s">
        <v>59</v>
      </c>
      <c r="I459" s="1" t="s">
        <v>60</v>
      </c>
      <c r="J459">
        <v>15</v>
      </c>
      <c r="K459">
        <v>323.7</v>
      </c>
      <c r="L459">
        <v>2883.48</v>
      </c>
      <c r="M459">
        <v>4855.5</v>
      </c>
      <c r="N459">
        <v>1972.02</v>
      </c>
      <c r="O459" s="1" t="s">
        <v>52</v>
      </c>
      <c r="P459" s="1" t="s">
        <v>67</v>
      </c>
      <c r="Q459">
        <v>12</v>
      </c>
    </row>
    <row r="460" spans="1:17" x14ac:dyDescent="0.25">
      <c r="A460" s="1" t="s">
        <v>898</v>
      </c>
      <c r="B460" s="2">
        <v>46306</v>
      </c>
      <c r="C460">
        <v>2026</v>
      </c>
      <c r="D460" s="1" t="s">
        <v>646</v>
      </c>
      <c r="E460" s="1" t="s">
        <v>899</v>
      </c>
      <c r="F460" s="1" t="s">
        <v>179</v>
      </c>
      <c r="G460" s="1" t="s">
        <v>180</v>
      </c>
      <c r="H460" s="1" t="s">
        <v>78</v>
      </c>
      <c r="I460" s="1" t="s">
        <v>46</v>
      </c>
      <c r="J460">
        <v>6</v>
      </c>
      <c r="K460">
        <v>196.21</v>
      </c>
      <c r="L460">
        <v>713.83</v>
      </c>
      <c r="M460">
        <v>1177.26</v>
      </c>
      <c r="N460">
        <v>463.42999999999995</v>
      </c>
      <c r="O460" s="1" t="s">
        <v>52</v>
      </c>
      <c r="P460" s="1" t="s">
        <v>53</v>
      </c>
      <c r="Q460">
        <v>10</v>
      </c>
    </row>
    <row r="461" spans="1:17" x14ac:dyDescent="0.25">
      <c r="A461" s="1" t="s">
        <v>900</v>
      </c>
      <c r="B461" s="2">
        <v>46257</v>
      </c>
      <c r="C461">
        <v>2026</v>
      </c>
      <c r="D461" s="1" t="s">
        <v>766</v>
      </c>
      <c r="E461" s="1" t="s">
        <v>716</v>
      </c>
      <c r="F461" s="1" t="s">
        <v>206</v>
      </c>
      <c r="G461" s="1" t="s">
        <v>207</v>
      </c>
      <c r="H461" s="1" t="s">
        <v>39</v>
      </c>
      <c r="I461" s="1" t="s">
        <v>46</v>
      </c>
      <c r="J461">
        <v>18</v>
      </c>
      <c r="K461">
        <v>179.1</v>
      </c>
      <c r="L461">
        <v>2122.4</v>
      </c>
      <c r="M461">
        <v>3223.7999999999997</v>
      </c>
      <c r="N461">
        <v>1101.3999999999996</v>
      </c>
      <c r="O461" s="1" t="s">
        <v>24</v>
      </c>
      <c r="P461" s="1" t="s">
        <v>101</v>
      </c>
      <c r="Q461">
        <v>8</v>
      </c>
    </row>
    <row r="462" spans="1:17" x14ac:dyDescent="0.25">
      <c r="A462" s="1" t="s">
        <v>901</v>
      </c>
      <c r="B462" s="2">
        <v>46142</v>
      </c>
      <c r="C462">
        <v>2026</v>
      </c>
      <c r="D462" s="1" t="s">
        <v>103</v>
      </c>
      <c r="E462" s="1" t="s">
        <v>902</v>
      </c>
      <c r="F462" s="1" t="s">
        <v>500</v>
      </c>
      <c r="G462" s="1" t="s">
        <v>501</v>
      </c>
      <c r="H462" s="1" t="s">
        <v>111</v>
      </c>
      <c r="I462" s="1" t="s">
        <v>31</v>
      </c>
      <c r="J462">
        <v>3</v>
      </c>
      <c r="K462">
        <v>311.81</v>
      </c>
      <c r="L462">
        <v>515.79</v>
      </c>
      <c r="M462">
        <v>935.43000000000006</v>
      </c>
      <c r="N462">
        <v>419.6400000000001</v>
      </c>
      <c r="O462" s="1" t="s">
        <v>47</v>
      </c>
      <c r="P462" s="1" t="s">
        <v>48</v>
      </c>
      <c r="Q462">
        <v>4</v>
      </c>
    </row>
    <row r="463" spans="1:17" x14ac:dyDescent="0.25">
      <c r="A463" s="1" t="s">
        <v>903</v>
      </c>
      <c r="B463" s="2">
        <v>46089</v>
      </c>
      <c r="C463">
        <v>2026</v>
      </c>
      <c r="D463" s="1" t="s">
        <v>243</v>
      </c>
      <c r="E463" s="1" t="s">
        <v>562</v>
      </c>
      <c r="F463" s="1" t="s">
        <v>29</v>
      </c>
      <c r="G463" s="1" t="s">
        <v>30</v>
      </c>
      <c r="H463" s="1" t="s">
        <v>22</v>
      </c>
      <c r="I463" s="1" t="s">
        <v>60</v>
      </c>
      <c r="J463">
        <v>3</v>
      </c>
      <c r="K463">
        <v>459.32</v>
      </c>
      <c r="L463">
        <v>931.25</v>
      </c>
      <c r="M463">
        <v>1377.96</v>
      </c>
      <c r="N463">
        <v>446.71000000000004</v>
      </c>
      <c r="O463" s="1" t="s">
        <v>32</v>
      </c>
      <c r="P463" s="1" t="s">
        <v>88</v>
      </c>
      <c r="Q463">
        <v>3</v>
      </c>
    </row>
    <row r="464" spans="1:17" x14ac:dyDescent="0.25">
      <c r="A464" s="1" t="s">
        <v>904</v>
      </c>
      <c r="B464" s="2">
        <v>46075</v>
      </c>
      <c r="C464">
        <v>2026</v>
      </c>
      <c r="D464" s="1" t="s">
        <v>99</v>
      </c>
      <c r="E464" s="1" t="s">
        <v>640</v>
      </c>
      <c r="F464" s="1" t="s">
        <v>399</v>
      </c>
      <c r="G464" s="1" t="s">
        <v>400</v>
      </c>
      <c r="H464" s="1" t="s">
        <v>236</v>
      </c>
      <c r="I464" s="1" t="s">
        <v>23</v>
      </c>
      <c r="J464">
        <v>14</v>
      </c>
      <c r="K464">
        <v>121.62</v>
      </c>
      <c r="L464">
        <v>1102.17</v>
      </c>
      <c r="M464">
        <v>1702.68</v>
      </c>
      <c r="N464">
        <v>600.51</v>
      </c>
      <c r="O464" s="1" t="s">
        <v>32</v>
      </c>
      <c r="P464" s="1" t="s">
        <v>84</v>
      </c>
      <c r="Q464">
        <v>2</v>
      </c>
    </row>
    <row r="465" spans="1:17" x14ac:dyDescent="0.25">
      <c r="A465" s="1" t="s">
        <v>905</v>
      </c>
      <c r="B465" s="2">
        <v>46170</v>
      </c>
      <c r="C465">
        <v>2026</v>
      </c>
      <c r="D465" s="1" t="s">
        <v>414</v>
      </c>
      <c r="E465" s="1" t="s">
        <v>706</v>
      </c>
      <c r="F465" s="1" t="s">
        <v>164</v>
      </c>
      <c r="G465" s="1" t="s">
        <v>165</v>
      </c>
      <c r="H465" s="1" t="s">
        <v>22</v>
      </c>
      <c r="I465" s="1" t="s">
        <v>60</v>
      </c>
      <c r="J465">
        <v>13</v>
      </c>
      <c r="K465">
        <v>397.78</v>
      </c>
      <c r="L465">
        <v>3531.68</v>
      </c>
      <c r="M465">
        <v>5171.1399999999994</v>
      </c>
      <c r="N465">
        <v>1639.4599999999996</v>
      </c>
      <c r="O465" s="1" t="s">
        <v>47</v>
      </c>
      <c r="P465" s="1" t="s">
        <v>92</v>
      </c>
      <c r="Q465">
        <v>5</v>
      </c>
    </row>
    <row r="466" spans="1:17" x14ac:dyDescent="0.25">
      <c r="A466" s="1" t="s">
        <v>906</v>
      </c>
      <c r="B466" s="2">
        <v>46267</v>
      </c>
      <c r="C466">
        <v>2026</v>
      </c>
      <c r="D466" s="1" t="s">
        <v>433</v>
      </c>
      <c r="E466" s="1" t="s">
        <v>681</v>
      </c>
      <c r="F466" s="1" t="s">
        <v>193</v>
      </c>
      <c r="G466" s="1" t="s">
        <v>194</v>
      </c>
      <c r="H466" s="1" t="s">
        <v>45</v>
      </c>
      <c r="I466" s="1" t="s">
        <v>60</v>
      </c>
      <c r="J466">
        <v>17</v>
      </c>
      <c r="K466">
        <v>426.36</v>
      </c>
      <c r="L466">
        <v>4312.93</v>
      </c>
      <c r="M466">
        <v>7248.12</v>
      </c>
      <c r="N466">
        <v>2935.1899999999996</v>
      </c>
      <c r="O466" s="1" t="s">
        <v>24</v>
      </c>
      <c r="P466" s="1" t="s">
        <v>61</v>
      </c>
      <c r="Q466">
        <v>9</v>
      </c>
    </row>
    <row r="467" spans="1:17" x14ac:dyDescent="0.25">
      <c r="A467" s="1" t="s">
        <v>907</v>
      </c>
      <c r="B467" s="2">
        <v>46250</v>
      </c>
      <c r="C467">
        <v>2026</v>
      </c>
      <c r="D467" s="1" t="s">
        <v>431</v>
      </c>
      <c r="E467" s="1" t="s">
        <v>453</v>
      </c>
      <c r="F467" s="1" t="s">
        <v>96</v>
      </c>
      <c r="G467" s="1" t="s">
        <v>97</v>
      </c>
      <c r="H467" s="1" t="s">
        <v>39</v>
      </c>
      <c r="I467" s="1" t="s">
        <v>60</v>
      </c>
      <c r="J467">
        <v>15</v>
      </c>
      <c r="K467">
        <v>181.75</v>
      </c>
      <c r="L467">
        <v>1555.33</v>
      </c>
      <c r="M467">
        <v>2726.25</v>
      </c>
      <c r="N467">
        <v>1170.92</v>
      </c>
      <c r="O467" s="1" t="s">
        <v>24</v>
      </c>
      <c r="P467" s="1" t="s">
        <v>101</v>
      </c>
      <c r="Q467">
        <v>8</v>
      </c>
    </row>
    <row r="468" spans="1:17" x14ac:dyDescent="0.25">
      <c r="A468" s="1" t="s">
        <v>908</v>
      </c>
      <c r="B468" s="2">
        <v>46296</v>
      </c>
      <c r="C468">
        <v>2026</v>
      </c>
      <c r="D468" s="1" t="s">
        <v>486</v>
      </c>
      <c r="E468" s="1" t="s">
        <v>909</v>
      </c>
      <c r="F468" s="1" t="s">
        <v>138</v>
      </c>
      <c r="G468" s="1" t="s">
        <v>139</v>
      </c>
      <c r="H468" s="1" t="s">
        <v>45</v>
      </c>
      <c r="I468" s="1" t="s">
        <v>60</v>
      </c>
      <c r="J468">
        <v>9</v>
      </c>
      <c r="K468">
        <v>426.54</v>
      </c>
      <c r="L468">
        <v>2239.88</v>
      </c>
      <c r="M468">
        <v>3838.86</v>
      </c>
      <c r="N468">
        <v>1598.98</v>
      </c>
      <c r="O468" s="1" t="s">
        <v>52</v>
      </c>
      <c r="P468" s="1" t="s">
        <v>53</v>
      </c>
      <c r="Q468">
        <v>10</v>
      </c>
    </row>
    <row r="469" spans="1:17" hidden="1" x14ac:dyDescent="0.25">
      <c r="A469" s="1" t="s">
        <v>910</v>
      </c>
      <c r="B469" s="2">
        <v>46369</v>
      </c>
      <c r="C469">
        <v>2026</v>
      </c>
      <c r="D469" s="1" t="s">
        <v>766</v>
      </c>
      <c r="E469" s="1" t="s">
        <v>223</v>
      </c>
      <c r="F469" s="1" t="s">
        <v>115</v>
      </c>
      <c r="G469" s="1" t="s">
        <v>116</v>
      </c>
      <c r="H469" s="1" t="s">
        <v>22</v>
      </c>
      <c r="I469" s="1" t="s">
        <v>46</v>
      </c>
      <c r="J469">
        <v>1</v>
      </c>
      <c r="K469">
        <v>261.58999999999997</v>
      </c>
      <c r="L469">
        <v>163.04</v>
      </c>
      <c r="O469" s="1"/>
      <c r="P469" s="1"/>
    </row>
    <row r="470" spans="1:17" hidden="1" x14ac:dyDescent="0.25">
      <c r="A470" s="1" t="s">
        <v>911</v>
      </c>
      <c r="B470" s="2">
        <v>46123</v>
      </c>
      <c r="C470">
        <v>2026</v>
      </c>
      <c r="D470" s="1" t="s">
        <v>697</v>
      </c>
      <c r="E470" s="1" t="s">
        <v>912</v>
      </c>
      <c r="F470" s="1" t="s">
        <v>138</v>
      </c>
      <c r="G470" s="1" t="s">
        <v>139</v>
      </c>
      <c r="H470" s="1" t="s">
        <v>45</v>
      </c>
      <c r="I470" s="1" t="s">
        <v>60</v>
      </c>
      <c r="J470">
        <v>6</v>
      </c>
      <c r="K470">
        <v>207.84</v>
      </c>
      <c r="L470">
        <v>677.26</v>
      </c>
      <c r="O470" s="1"/>
      <c r="P470" s="1"/>
    </row>
    <row r="471" spans="1:17" hidden="1" x14ac:dyDescent="0.25">
      <c r="A471" s="1" t="s">
        <v>913</v>
      </c>
      <c r="B471" s="2">
        <v>46157</v>
      </c>
      <c r="C471">
        <v>2026</v>
      </c>
      <c r="D471" s="1" t="s">
        <v>395</v>
      </c>
      <c r="E471" s="1" t="s">
        <v>576</v>
      </c>
      <c r="F471" s="1" t="s">
        <v>149</v>
      </c>
      <c r="G471" s="1" t="s">
        <v>150</v>
      </c>
      <c r="H471" s="1" t="s">
        <v>22</v>
      </c>
      <c r="I471" s="1" t="s">
        <v>46</v>
      </c>
      <c r="J471">
        <v>12</v>
      </c>
      <c r="K471">
        <v>413.57</v>
      </c>
      <c r="L471">
        <v>3054.8</v>
      </c>
      <c r="O471" s="1"/>
      <c r="P471" s="1"/>
    </row>
    <row r="472" spans="1:17" hidden="1" x14ac:dyDescent="0.25">
      <c r="A472" s="1" t="s">
        <v>914</v>
      </c>
      <c r="B472" s="2">
        <v>46310</v>
      </c>
      <c r="C472">
        <v>2026</v>
      </c>
      <c r="D472" s="1" t="s">
        <v>475</v>
      </c>
      <c r="E472" s="1" t="s">
        <v>184</v>
      </c>
      <c r="F472" s="1" t="s">
        <v>249</v>
      </c>
      <c r="G472" s="1" t="s">
        <v>250</v>
      </c>
      <c r="H472" s="1" t="s">
        <v>59</v>
      </c>
      <c r="I472" s="1" t="s">
        <v>60</v>
      </c>
      <c r="J472">
        <v>17</v>
      </c>
      <c r="K472">
        <v>20.350000000000001</v>
      </c>
      <c r="L472">
        <v>247.25</v>
      </c>
      <c r="O472" s="1"/>
      <c r="P472" s="1"/>
    </row>
    <row r="473" spans="1:17" hidden="1" x14ac:dyDescent="0.25">
      <c r="A473" s="1" t="s">
        <v>915</v>
      </c>
      <c r="B473" s="2">
        <v>46025</v>
      </c>
      <c r="C473">
        <v>2026</v>
      </c>
      <c r="D473" s="1" t="s">
        <v>225</v>
      </c>
      <c r="E473" s="1" t="s">
        <v>668</v>
      </c>
      <c r="F473" s="1" t="s">
        <v>211</v>
      </c>
      <c r="G473" s="1" t="s">
        <v>212</v>
      </c>
      <c r="H473" s="1" t="s">
        <v>39</v>
      </c>
      <c r="I473" s="1" t="s">
        <v>23</v>
      </c>
      <c r="J473">
        <v>17</v>
      </c>
      <c r="K473">
        <v>344.9</v>
      </c>
      <c r="L473">
        <v>3533.35</v>
      </c>
      <c r="O473" s="1"/>
      <c r="P473" s="1"/>
    </row>
    <row r="474" spans="1:17" hidden="1" x14ac:dyDescent="0.25">
      <c r="A474" s="1" t="s">
        <v>916</v>
      </c>
      <c r="B474" s="2">
        <v>46224</v>
      </c>
      <c r="C474">
        <v>2026</v>
      </c>
      <c r="D474" s="1" t="s">
        <v>50</v>
      </c>
      <c r="E474" s="1" t="s">
        <v>354</v>
      </c>
      <c r="F474" s="1" t="s">
        <v>138</v>
      </c>
      <c r="G474" s="1" t="s">
        <v>139</v>
      </c>
      <c r="H474" s="1" t="s">
        <v>45</v>
      </c>
      <c r="I474" s="1" t="s">
        <v>31</v>
      </c>
      <c r="J474">
        <v>3</v>
      </c>
      <c r="K474">
        <v>45.67</v>
      </c>
      <c r="L474">
        <v>93.69</v>
      </c>
      <c r="O474" s="1"/>
      <c r="P474" s="1"/>
    </row>
    <row r="475" spans="1:17" hidden="1" x14ac:dyDescent="0.25">
      <c r="A475" s="1" t="s">
        <v>917</v>
      </c>
      <c r="B475" s="2">
        <v>46341</v>
      </c>
      <c r="C475">
        <v>2026</v>
      </c>
      <c r="D475" s="1" t="s">
        <v>157</v>
      </c>
      <c r="E475" s="1" t="s">
        <v>158</v>
      </c>
      <c r="F475" s="1" t="s">
        <v>164</v>
      </c>
      <c r="G475" s="1" t="s">
        <v>165</v>
      </c>
      <c r="H475" s="1" t="s">
        <v>22</v>
      </c>
      <c r="I475" s="1" t="s">
        <v>60</v>
      </c>
      <c r="J475">
        <v>3</v>
      </c>
      <c r="K475">
        <v>257.87</v>
      </c>
      <c r="L475">
        <v>473.79</v>
      </c>
      <c r="O475" s="1"/>
      <c r="P475" s="1"/>
    </row>
    <row r="476" spans="1:17" hidden="1" x14ac:dyDescent="0.25">
      <c r="A476" s="1" t="s">
        <v>918</v>
      </c>
      <c r="B476" s="2">
        <v>46240</v>
      </c>
      <c r="C476">
        <v>2026</v>
      </c>
      <c r="D476" s="1" t="s">
        <v>273</v>
      </c>
      <c r="E476" s="1" t="s">
        <v>919</v>
      </c>
      <c r="F476" s="1" t="s">
        <v>234</v>
      </c>
      <c r="G476" s="1" t="s">
        <v>235</v>
      </c>
      <c r="H476" s="1" t="s">
        <v>236</v>
      </c>
      <c r="I476" s="1" t="s">
        <v>31</v>
      </c>
      <c r="J476">
        <v>11</v>
      </c>
      <c r="K476">
        <v>35.28</v>
      </c>
      <c r="L476">
        <v>215.32</v>
      </c>
      <c r="O476" s="1"/>
      <c r="P476" s="1"/>
    </row>
    <row r="477" spans="1:17" hidden="1" x14ac:dyDescent="0.25">
      <c r="A477" s="1" t="s">
        <v>920</v>
      </c>
      <c r="B477" s="2">
        <v>46336</v>
      </c>
      <c r="C477">
        <v>2026</v>
      </c>
      <c r="D477" s="1" t="s">
        <v>414</v>
      </c>
      <c r="E477" s="1" t="s">
        <v>687</v>
      </c>
      <c r="F477" s="1" t="s">
        <v>29</v>
      </c>
      <c r="G477" s="1" t="s">
        <v>30</v>
      </c>
      <c r="H477" s="1" t="s">
        <v>22</v>
      </c>
      <c r="I477" s="1" t="s">
        <v>46</v>
      </c>
      <c r="J477">
        <v>16</v>
      </c>
      <c r="K477">
        <v>366.1</v>
      </c>
      <c r="L477">
        <v>3576.89</v>
      </c>
      <c r="O477" s="1"/>
      <c r="P477" s="1"/>
    </row>
    <row r="478" spans="1:17" hidden="1" x14ac:dyDescent="0.25">
      <c r="A478" s="1" t="s">
        <v>921</v>
      </c>
      <c r="B478" s="2">
        <v>46229</v>
      </c>
      <c r="C478">
        <v>2026</v>
      </c>
      <c r="D478" s="1" t="s">
        <v>238</v>
      </c>
      <c r="E478" s="1" t="s">
        <v>634</v>
      </c>
      <c r="F478" s="1" t="s">
        <v>456</v>
      </c>
      <c r="G478" s="1" t="s">
        <v>457</v>
      </c>
      <c r="H478" s="1" t="s">
        <v>111</v>
      </c>
      <c r="I478" s="1" t="s">
        <v>60</v>
      </c>
      <c r="J478">
        <v>2</v>
      </c>
      <c r="K478">
        <v>140.81</v>
      </c>
      <c r="L478">
        <v>237.34</v>
      </c>
      <c r="O478" s="1"/>
      <c r="P478" s="1"/>
    </row>
    <row r="479" spans="1:17" hidden="1" x14ac:dyDescent="0.25">
      <c r="A479" s="1" t="s">
        <v>922</v>
      </c>
      <c r="B479" s="2">
        <v>46233</v>
      </c>
      <c r="C479">
        <v>2026</v>
      </c>
      <c r="D479" s="1" t="s">
        <v>216</v>
      </c>
      <c r="E479" s="1" t="s">
        <v>579</v>
      </c>
      <c r="F479" s="1" t="s">
        <v>415</v>
      </c>
      <c r="G479" s="1" t="s">
        <v>416</v>
      </c>
      <c r="H479" s="1" t="s">
        <v>22</v>
      </c>
      <c r="I479" s="1" t="s">
        <v>46</v>
      </c>
      <c r="J479">
        <v>7</v>
      </c>
      <c r="K479">
        <v>334.45</v>
      </c>
      <c r="L479">
        <v>1939.83</v>
      </c>
      <c r="O479" s="1"/>
      <c r="P479" s="1"/>
    </row>
    <row r="480" spans="1:17" hidden="1" x14ac:dyDescent="0.25">
      <c r="A480" s="1" t="s">
        <v>923</v>
      </c>
      <c r="B480" s="2">
        <v>46381</v>
      </c>
      <c r="C480">
        <v>2026</v>
      </c>
      <c r="D480" s="1" t="s">
        <v>86</v>
      </c>
      <c r="E480" s="1" t="s">
        <v>573</v>
      </c>
      <c r="F480" s="1" t="s">
        <v>175</v>
      </c>
      <c r="G480" s="1" t="s">
        <v>176</v>
      </c>
      <c r="H480" s="1" t="s">
        <v>59</v>
      </c>
      <c r="I480" s="1" t="s">
        <v>31</v>
      </c>
      <c r="J480">
        <v>5</v>
      </c>
      <c r="K480">
        <v>224.07</v>
      </c>
      <c r="L480">
        <v>621.99</v>
      </c>
      <c r="O480" s="1"/>
      <c r="P480" s="1"/>
    </row>
    <row r="481" spans="1:16" hidden="1" x14ac:dyDescent="0.25">
      <c r="A481" s="1" t="s">
        <v>924</v>
      </c>
      <c r="B481" s="2">
        <v>46281</v>
      </c>
      <c r="C481">
        <v>2026</v>
      </c>
      <c r="D481" s="1" t="s">
        <v>925</v>
      </c>
      <c r="E481" s="1" t="s">
        <v>143</v>
      </c>
      <c r="F481" s="1" t="s">
        <v>257</v>
      </c>
      <c r="G481" s="1" t="s">
        <v>258</v>
      </c>
      <c r="H481" s="1" t="s">
        <v>39</v>
      </c>
      <c r="I481" s="1" t="s">
        <v>23</v>
      </c>
      <c r="J481">
        <v>3</v>
      </c>
      <c r="K481">
        <v>237.43</v>
      </c>
      <c r="L481">
        <v>490.56</v>
      </c>
      <c r="O481" s="1"/>
      <c r="P481" s="1"/>
    </row>
    <row r="482" spans="1:16" hidden="1" x14ac:dyDescent="0.25">
      <c r="A482" s="1" t="s">
        <v>926</v>
      </c>
      <c r="B482" s="2">
        <v>46352</v>
      </c>
      <c r="C482">
        <v>2026</v>
      </c>
      <c r="D482" s="1" t="s">
        <v>925</v>
      </c>
      <c r="E482" s="1" t="s">
        <v>703</v>
      </c>
      <c r="F482" s="1" t="s">
        <v>193</v>
      </c>
      <c r="G482" s="1" t="s">
        <v>194</v>
      </c>
      <c r="H482" s="1" t="s">
        <v>45</v>
      </c>
      <c r="I482" s="1" t="s">
        <v>60</v>
      </c>
      <c r="J482">
        <v>14</v>
      </c>
      <c r="K482">
        <v>388.92</v>
      </c>
      <c r="L482">
        <v>3238.34</v>
      </c>
      <c r="O482" s="1"/>
      <c r="P482" s="1"/>
    </row>
    <row r="483" spans="1:16" hidden="1" x14ac:dyDescent="0.25">
      <c r="A483" s="1" t="s">
        <v>927</v>
      </c>
      <c r="B483" s="2">
        <v>46259</v>
      </c>
      <c r="C483">
        <v>2026</v>
      </c>
      <c r="D483" s="1" t="s">
        <v>307</v>
      </c>
      <c r="E483" s="1" t="s">
        <v>631</v>
      </c>
      <c r="F483" s="1" t="s">
        <v>71</v>
      </c>
      <c r="G483" s="1" t="s">
        <v>72</v>
      </c>
      <c r="H483" s="1" t="s">
        <v>22</v>
      </c>
      <c r="I483" s="1" t="s">
        <v>46</v>
      </c>
      <c r="J483">
        <v>6</v>
      </c>
      <c r="K483">
        <v>171.38</v>
      </c>
      <c r="L483">
        <v>639.76</v>
      </c>
      <c r="O483" s="1"/>
      <c r="P483" s="1"/>
    </row>
    <row r="484" spans="1:16" hidden="1" x14ac:dyDescent="0.25">
      <c r="A484" s="1" t="s">
        <v>928</v>
      </c>
      <c r="B484" s="2">
        <v>46053</v>
      </c>
      <c r="C484">
        <v>2026</v>
      </c>
      <c r="D484" s="1" t="s">
        <v>373</v>
      </c>
      <c r="E484" s="1" t="s">
        <v>366</v>
      </c>
      <c r="F484" s="1" t="s">
        <v>105</v>
      </c>
      <c r="G484" s="1" t="s">
        <v>106</v>
      </c>
      <c r="H484" s="1" t="s">
        <v>78</v>
      </c>
      <c r="I484" s="1" t="s">
        <v>60</v>
      </c>
      <c r="J484">
        <v>8</v>
      </c>
      <c r="K484">
        <v>222.57</v>
      </c>
      <c r="L484">
        <v>1163.6300000000001</v>
      </c>
      <c r="O484" s="1"/>
      <c r="P484" s="1"/>
    </row>
    <row r="485" spans="1:16" hidden="1" x14ac:dyDescent="0.25">
      <c r="A485" s="1" t="s">
        <v>929</v>
      </c>
      <c r="B485" s="2">
        <v>46092</v>
      </c>
      <c r="C485">
        <v>2026</v>
      </c>
      <c r="D485" s="1" t="s">
        <v>157</v>
      </c>
      <c r="E485" s="1" t="s">
        <v>745</v>
      </c>
      <c r="F485" s="1" t="s">
        <v>149</v>
      </c>
      <c r="G485" s="1" t="s">
        <v>150</v>
      </c>
      <c r="H485" s="1" t="s">
        <v>22</v>
      </c>
      <c r="I485" s="1" t="s">
        <v>60</v>
      </c>
      <c r="J485">
        <v>15</v>
      </c>
      <c r="K485">
        <v>418.09</v>
      </c>
      <c r="L485">
        <v>3341.77</v>
      </c>
      <c r="O485" s="1"/>
      <c r="P485" s="1"/>
    </row>
    <row r="486" spans="1:16" hidden="1" x14ac:dyDescent="0.25">
      <c r="A486" s="1" t="s">
        <v>930</v>
      </c>
      <c r="B486" s="2">
        <v>46061</v>
      </c>
      <c r="C486">
        <v>2026</v>
      </c>
      <c r="D486" s="1" t="s">
        <v>152</v>
      </c>
      <c r="E486" s="1" t="s">
        <v>807</v>
      </c>
      <c r="F486" s="1" t="s">
        <v>249</v>
      </c>
      <c r="G486" s="1" t="s">
        <v>250</v>
      </c>
      <c r="H486" s="1" t="s">
        <v>59</v>
      </c>
      <c r="I486" s="1" t="s">
        <v>23</v>
      </c>
      <c r="J486">
        <v>18</v>
      </c>
      <c r="K486">
        <v>453.87</v>
      </c>
      <c r="L486">
        <v>4522.51</v>
      </c>
      <c r="O486" s="1"/>
      <c r="P486" s="1"/>
    </row>
    <row r="487" spans="1:16" hidden="1" x14ac:dyDescent="0.25">
      <c r="A487" s="1" t="s">
        <v>931</v>
      </c>
      <c r="B487" s="2">
        <v>46043</v>
      </c>
      <c r="C487">
        <v>2026</v>
      </c>
      <c r="D487" s="1" t="s">
        <v>792</v>
      </c>
      <c r="E487" s="1" t="s">
        <v>108</v>
      </c>
      <c r="F487" s="1" t="s">
        <v>105</v>
      </c>
      <c r="G487" s="1" t="s">
        <v>106</v>
      </c>
      <c r="H487" s="1" t="s">
        <v>78</v>
      </c>
      <c r="I487" s="1" t="s">
        <v>31</v>
      </c>
      <c r="J487">
        <v>10</v>
      </c>
      <c r="K487">
        <v>488.89</v>
      </c>
      <c r="L487">
        <v>3375.15</v>
      </c>
      <c r="O487" s="1"/>
      <c r="P487" s="1"/>
    </row>
    <row r="488" spans="1:16" hidden="1" x14ac:dyDescent="0.25">
      <c r="A488" s="1" t="s">
        <v>932</v>
      </c>
      <c r="B488" s="2">
        <v>46277</v>
      </c>
      <c r="C488">
        <v>2026</v>
      </c>
      <c r="D488" s="1" t="s">
        <v>55</v>
      </c>
      <c r="E488" s="1" t="s">
        <v>481</v>
      </c>
      <c r="F488" s="1" t="s">
        <v>20</v>
      </c>
      <c r="G488" s="1" t="s">
        <v>21</v>
      </c>
      <c r="H488" s="1" t="s">
        <v>22</v>
      </c>
      <c r="I488" s="1" t="s">
        <v>60</v>
      </c>
      <c r="J488">
        <v>8</v>
      </c>
      <c r="K488">
        <v>313.47000000000003</v>
      </c>
      <c r="L488">
        <v>1494.66</v>
      </c>
      <c r="O488" s="1"/>
      <c r="P488" s="1"/>
    </row>
    <row r="489" spans="1:16" hidden="1" x14ac:dyDescent="0.25">
      <c r="A489" s="1" t="s">
        <v>933</v>
      </c>
      <c r="B489" s="2">
        <v>46203</v>
      </c>
      <c r="C489">
        <v>2026</v>
      </c>
      <c r="D489" s="1" t="s">
        <v>74</v>
      </c>
      <c r="E489" s="1" t="s">
        <v>484</v>
      </c>
      <c r="F489" s="1" t="s">
        <v>206</v>
      </c>
      <c r="G489" s="1" t="s">
        <v>207</v>
      </c>
      <c r="H489" s="1" t="s">
        <v>39</v>
      </c>
      <c r="I489" s="1" t="s">
        <v>60</v>
      </c>
      <c r="J489">
        <v>20</v>
      </c>
      <c r="K489">
        <v>375.08</v>
      </c>
      <c r="L489">
        <v>4722.93</v>
      </c>
      <c r="O489" s="1"/>
      <c r="P489" s="1"/>
    </row>
    <row r="490" spans="1:16" hidden="1" x14ac:dyDescent="0.25">
      <c r="A490" s="1" t="s">
        <v>934</v>
      </c>
      <c r="B490" s="2">
        <v>46355</v>
      </c>
      <c r="C490">
        <v>2026</v>
      </c>
      <c r="D490" s="1" t="s">
        <v>514</v>
      </c>
      <c r="E490" s="1" t="s">
        <v>376</v>
      </c>
      <c r="F490" s="1" t="s">
        <v>339</v>
      </c>
      <c r="G490" s="1" t="s">
        <v>340</v>
      </c>
      <c r="H490" s="1" t="s">
        <v>78</v>
      </c>
      <c r="I490" s="1" t="s">
        <v>60</v>
      </c>
      <c r="J490">
        <v>3</v>
      </c>
      <c r="K490">
        <v>237.43</v>
      </c>
      <c r="L490">
        <v>455.96</v>
      </c>
      <c r="O490" s="1"/>
      <c r="P490" s="1"/>
    </row>
    <row r="491" spans="1:16" hidden="1" x14ac:dyDescent="0.25">
      <c r="A491" s="1" t="s">
        <v>935</v>
      </c>
      <c r="B491" s="2">
        <v>46380</v>
      </c>
      <c r="C491">
        <v>2026</v>
      </c>
      <c r="D491" s="1" t="s">
        <v>248</v>
      </c>
      <c r="E491" s="1" t="s">
        <v>448</v>
      </c>
      <c r="F491" s="1" t="s">
        <v>211</v>
      </c>
      <c r="G491" s="1" t="s">
        <v>212</v>
      </c>
      <c r="H491" s="1" t="s">
        <v>39</v>
      </c>
      <c r="I491" s="1" t="s">
        <v>60</v>
      </c>
      <c r="J491">
        <v>7</v>
      </c>
      <c r="K491">
        <v>480.11</v>
      </c>
      <c r="L491">
        <v>2360.8000000000002</v>
      </c>
      <c r="O491" s="1"/>
      <c r="P491" s="1"/>
    </row>
    <row r="492" spans="1:16" hidden="1" x14ac:dyDescent="0.25">
      <c r="A492" s="1" t="s">
        <v>936</v>
      </c>
      <c r="B492" s="2">
        <v>46224</v>
      </c>
      <c r="C492">
        <v>2026</v>
      </c>
      <c r="D492" s="1" t="s">
        <v>393</v>
      </c>
      <c r="E492" s="1" t="s">
        <v>81</v>
      </c>
      <c r="F492" s="1" t="s">
        <v>231</v>
      </c>
      <c r="G492" s="1" t="s">
        <v>232</v>
      </c>
      <c r="H492" s="1" t="s">
        <v>59</v>
      </c>
      <c r="I492" s="1" t="s">
        <v>60</v>
      </c>
      <c r="J492">
        <v>15</v>
      </c>
      <c r="K492">
        <v>150.84</v>
      </c>
      <c r="L492">
        <v>1615.99</v>
      </c>
      <c r="O492" s="1"/>
      <c r="P492" s="1"/>
    </row>
    <row r="493" spans="1:16" hidden="1" x14ac:dyDescent="0.25">
      <c r="A493" s="1" t="s">
        <v>937</v>
      </c>
      <c r="B493" s="2">
        <v>46293</v>
      </c>
      <c r="C493">
        <v>2026</v>
      </c>
      <c r="D493" s="1" t="s">
        <v>307</v>
      </c>
      <c r="E493" s="1" t="s">
        <v>301</v>
      </c>
      <c r="F493" s="1" t="s">
        <v>109</v>
      </c>
      <c r="G493" s="1" t="s">
        <v>110</v>
      </c>
      <c r="H493" s="1" t="s">
        <v>111</v>
      </c>
      <c r="I493" s="1" t="s">
        <v>46</v>
      </c>
      <c r="J493">
        <v>3</v>
      </c>
      <c r="K493">
        <v>66.319999999999993</v>
      </c>
      <c r="L493">
        <v>164.8</v>
      </c>
      <c r="O493" s="1"/>
      <c r="P493" s="1"/>
    </row>
    <row r="494" spans="1:16" hidden="1" x14ac:dyDescent="0.25">
      <c r="A494" s="1" t="s">
        <v>938</v>
      </c>
      <c r="B494" s="2">
        <v>46082</v>
      </c>
      <c r="C494">
        <v>2026</v>
      </c>
      <c r="D494" s="1" t="s">
        <v>18</v>
      </c>
      <c r="E494" s="1" t="s">
        <v>585</v>
      </c>
      <c r="F494" s="1" t="s">
        <v>197</v>
      </c>
      <c r="G494" s="1" t="s">
        <v>198</v>
      </c>
      <c r="H494" s="1" t="s">
        <v>59</v>
      </c>
      <c r="I494" s="1" t="s">
        <v>46</v>
      </c>
      <c r="J494">
        <v>10</v>
      </c>
      <c r="K494">
        <v>73.599999999999994</v>
      </c>
      <c r="L494">
        <v>504.78</v>
      </c>
      <c r="O494" s="1"/>
      <c r="P494" s="1"/>
    </row>
    <row r="495" spans="1:16" hidden="1" x14ac:dyDescent="0.25">
      <c r="A495" s="1" t="s">
        <v>939</v>
      </c>
      <c r="B495" s="2">
        <v>46076</v>
      </c>
      <c r="C495">
        <v>2026</v>
      </c>
      <c r="D495" s="1" t="s">
        <v>18</v>
      </c>
      <c r="E495" s="1" t="s">
        <v>940</v>
      </c>
      <c r="F495" s="1" t="s">
        <v>185</v>
      </c>
      <c r="G495" s="1" t="s">
        <v>186</v>
      </c>
      <c r="H495" s="1" t="s">
        <v>22</v>
      </c>
      <c r="I495" s="1" t="s">
        <v>46</v>
      </c>
      <c r="J495">
        <v>20</v>
      </c>
      <c r="K495">
        <v>59.78</v>
      </c>
      <c r="L495">
        <v>655.77</v>
      </c>
      <c r="O495" s="1"/>
      <c r="P495" s="1"/>
    </row>
    <row r="496" spans="1:16" hidden="1" x14ac:dyDescent="0.25">
      <c r="A496" s="1" t="s">
        <v>941</v>
      </c>
      <c r="B496" s="2">
        <v>46265</v>
      </c>
      <c r="C496">
        <v>2026</v>
      </c>
      <c r="D496" s="1" t="s">
        <v>378</v>
      </c>
      <c r="E496" s="1" t="s">
        <v>942</v>
      </c>
      <c r="F496" s="1" t="s">
        <v>197</v>
      </c>
      <c r="G496" s="1" t="s">
        <v>198</v>
      </c>
      <c r="H496" s="1" t="s">
        <v>59</v>
      </c>
      <c r="I496" s="1" t="s">
        <v>60</v>
      </c>
      <c r="J496">
        <v>15</v>
      </c>
      <c r="K496">
        <v>334.8</v>
      </c>
      <c r="L496">
        <v>3221.49</v>
      </c>
      <c r="O496" s="1"/>
      <c r="P496" s="1"/>
    </row>
    <row r="497" spans="1:16" hidden="1" x14ac:dyDescent="0.25">
      <c r="A497" s="1" t="s">
        <v>943</v>
      </c>
      <c r="B497" s="2">
        <v>46386</v>
      </c>
      <c r="C497">
        <v>2026</v>
      </c>
      <c r="D497" s="1" t="s">
        <v>74</v>
      </c>
      <c r="E497" s="1" t="s">
        <v>912</v>
      </c>
      <c r="F497" s="1" t="s">
        <v>159</v>
      </c>
      <c r="G497" s="1" t="s">
        <v>160</v>
      </c>
      <c r="H497" s="1" t="s">
        <v>111</v>
      </c>
      <c r="I497" s="1" t="s">
        <v>31</v>
      </c>
      <c r="J497">
        <v>2</v>
      </c>
      <c r="K497">
        <v>67.33</v>
      </c>
      <c r="L497">
        <v>99.49</v>
      </c>
      <c r="O497" s="1"/>
      <c r="P497" s="1"/>
    </row>
    <row r="498" spans="1:16" hidden="1" x14ac:dyDescent="0.25">
      <c r="A498" s="1" t="s">
        <v>944</v>
      </c>
      <c r="B498" s="2">
        <v>46235</v>
      </c>
      <c r="C498">
        <v>2026</v>
      </c>
      <c r="D498" s="1" t="s">
        <v>433</v>
      </c>
      <c r="E498" s="1" t="s">
        <v>747</v>
      </c>
      <c r="F498" s="1" t="s">
        <v>164</v>
      </c>
      <c r="G498" s="1" t="s">
        <v>165</v>
      </c>
      <c r="H498" s="1" t="s">
        <v>22</v>
      </c>
      <c r="I498" s="1" t="s">
        <v>60</v>
      </c>
      <c r="J498">
        <v>15</v>
      </c>
      <c r="K498">
        <v>30.32</v>
      </c>
      <c r="L498">
        <v>336.55</v>
      </c>
      <c r="O498" s="1"/>
      <c r="P498" s="1"/>
    </row>
    <row r="499" spans="1:16" hidden="1" x14ac:dyDescent="0.25">
      <c r="A499" s="1" t="s">
        <v>945</v>
      </c>
      <c r="B499" s="2">
        <v>46281</v>
      </c>
      <c r="C499">
        <v>2026</v>
      </c>
      <c r="D499" s="1" t="s">
        <v>373</v>
      </c>
      <c r="E499" s="1" t="s">
        <v>558</v>
      </c>
      <c r="F499" s="1" t="s">
        <v>169</v>
      </c>
      <c r="G499" s="1" t="s">
        <v>170</v>
      </c>
      <c r="H499" s="1" t="s">
        <v>78</v>
      </c>
      <c r="I499" s="1" t="s">
        <v>60</v>
      </c>
      <c r="J499">
        <v>14</v>
      </c>
      <c r="K499">
        <v>26.8</v>
      </c>
      <c r="L499">
        <v>291.69</v>
      </c>
      <c r="O499" s="1"/>
      <c r="P499" s="1"/>
    </row>
    <row r="500" spans="1:16" hidden="1" x14ac:dyDescent="0.25">
      <c r="A500" s="1" t="s">
        <v>946</v>
      </c>
      <c r="B500" s="2">
        <v>46282</v>
      </c>
      <c r="C500">
        <v>2026</v>
      </c>
      <c r="D500" s="1" t="s">
        <v>315</v>
      </c>
      <c r="E500" s="1" t="s">
        <v>747</v>
      </c>
      <c r="F500" s="1" t="s">
        <v>245</v>
      </c>
      <c r="G500" s="1" t="s">
        <v>246</v>
      </c>
      <c r="H500" s="1" t="s">
        <v>39</v>
      </c>
      <c r="I500" s="1" t="s">
        <v>60</v>
      </c>
      <c r="J500">
        <v>15</v>
      </c>
      <c r="K500">
        <v>448.07</v>
      </c>
      <c r="L500">
        <v>5303.89</v>
      </c>
      <c r="O500" s="1"/>
      <c r="P500" s="1"/>
    </row>
    <row r="501" spans="1:16" hidden="1" x14ac:dyDescent="0.25">
      <c r="A501" s="1" t="s">
        <v>947</v>
      </c>
      <c r="B501" s="2">
        <v>46204</v>
      </c>
      <c r="C501">
        <v>2026</v>
      </c>
      <c r="D501" s="1" t="s">
        <v>152</v>
      </c>
      <c r="E501" s="1" t="s">
        <v>942</v>
      </c>
      <c r="F501" s="1" t="s">
        <v>309</v>
      </c>
      <c r="G501" s="1" t="s">
        <v>310</v>
      </c>
      <c r="H501" s="1" t="s">
        <v>78</v>
      </c>
      <c r="I501" s="1" t="s">
        <v>23</v>
      </c>
      <c r="J501">
        <v>5</v>
      </c>
      <c r="K501">
        <v>107.92</v>
      </c>
      <c r="L501">
        <v>364.7</v>
      </c>
      <c r="O501" s="1"/>
      <c r="P501" s="1"/>
    </row>
    <row r="502" spans="1:16" hidden="1" x14ac:dyDescent="0.25">
      <c r="A502" s="1" t="s">
        <v>948</v>
      </c>
      <c r="B502" s="2">
        <v>46219</v>
      </c>
      <c r="C502">
        <v>2026</v>
      </c>
      <c r="D502" s="1" t="s">
        <v>103</v>
      </c>
      <c r="E502" s="1" t="s">
        <v>289</v>
      </c>
      <c r="F502" s="1" t="s">
        <v>149</v>
      </c>
      <c r="G502" s="1" t="s">
        <v>150</v>
      </c>
      <c r="H502" s="1" t="s">
        <v>22</v>
      </c>
      <c r="I502" s="1" t="s">
        <v>31</v>
      </c>
      <c r="J502">
        <v>18</v>
      </c>
      <c r="K502">
        <v>425.48</v>
      </c>
      <c r="L502">
        <v>5131.3900000000003</v>
      </c>
      <c r="O502" s="1"/>
      <c r="P502" s="1"/>
    </row>
    <row r="503" spans="1:16" hidden="1" x14ac:dyDescent="0.25">
      <c r="A503" s="1" t="s">
        <v>949</v>
      </c>
      <c r="B503" s="2">
        <v>46072</v>
      </c>
      <c r="C503">
        <v>2026</v>
      </c>
      <c r="D503" s="1" t="s">
        <v>35</v>
      </c>
      <c r="E503" s="1" t="s">
        <v>87</v>
      </c>
      <c r="F503" s="1" t="s">
        <v>65</v>
      </c>
      <c r="G503" s="1" t="s">
        <v>66</v>
      </c>
      <c r="H503" s="1" t="s">
        <v>59</v>
      </c>
      <c r="I503" s="1" t="s">
        <v>60</v>
      </c>
      <c r="J503">
        <v>8</v>
      </c>
      <c r="K503">
        <v>296.11</v>
      </c>
      <c r="L503">
        <v>1932.97</v>
      </c>
      <c r="O503" s="1"/>
      <c r="P503" s="1"/>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109A-68FE-4396-B08C-DBE2407F4638}">
  <dimension ref="A1"/>
  <sheetViews>
    <sheetView showGridLines="0" showRowColHeader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97EB877-5675-4E77-B5C3-F704F6C0C3FF}">
  <ds:schemaRefs/>
</ds:datastoreItem>
</file>

<file path=customXml/itemProps2.xml><?xml version="1.0" encoding="utf-8"?>
<ds:datastoreItem xmlns:ds="http://schemas.openxmlformats.org/officeDocument/2006/customXml" ds:itemID="{D0169294-705B-4131-BEB7-D6BEAAA03AAB}">
  <ds:schemaRefs/>
</ds:datastoreItem>
</file>

<file path=customXml/itemProps3.xml><?xml version="1.0" encoding="utf-8"?>
<ds:datastoreItem xmlns:ds="http://schemas.openxmlformats.org/officeDocument/2006/customXml" ds:itemID="{89268388-7610-4968-9EA4-D15E84E70BC1}">
  <ds:schemaRefs/>
</ds:datastoreItem>
</file>

<file path=customXml/itemProps4.xml><?xml version="1.0" encoding="utf-8"?>
<ds:datastoreItem xmlns:ds="http://schemas.openxmlformats.org/officeDocument/2006/customXml" ds:itemID="{D2681637-246E-4885-878B-61EBFE27C8DE}">
  <ds:schemaRefs/>
</ds:datastoreItem>
</file>

<file path=customXml/itemProps5.xml><?xml version="1.0" encoding="utf-8"?>
<ds:datastoreItem xmlns:ds="http://schemas.openxmlformats.org/officeDocument/2006/customXml" ds:itemID="{E586AE38-94DA-4FA3-B55F-40AE73A8BB53}">
  <ds:schemaRefs/>
</ds:datastoreItem>
</file>

<file path=customXml/itemProps6.xml><?xml version="1.0" encoding="utf-8"?>
<ds:datastoreItem xmlns:ds="http://schemas.openxmlformats.org/officeDocument/2006/customXml" ds:itemID="{659E6AE9-F1B7-46B0-87B0-D0E7F8C35AF6}">
  <ds:schemaRefs/>
</ds:datastoreItem>
</file>

<file path=customXml/itemProps7.xml><?xml version="1.0" encoding="utf-8"?>
<ds:datastoreItem xmlns:ds="http://schemas.openxmlformats.org/officeDocument/2006/customXml" ds:itemID="{37B510DD-E1A0-4174-B62D-40016969AD48}">
  <ds:schemaRefs/>
</ds:datastoreItem>
</file>

<file path=customXml/itemProps8.xml><?xml version="1.0" encoding="utf-8"?>
<ds:datastoreItem xmlns:ds="http://schemas.openxmlformats.org/officeDocument/2006/customXml" ds:itemID="{862FE775-161C-4195-885F-231EDCAED671}">
  <ds:schemaRefs/>
</ds:datastoreItem>
</file>

<file path=customXml/itemProps9.xml><?xml version="1.0" encoding="utf-8"?>
<ds:datastoreItem xmlns:ds="http://schemas.openxmlformats.org/officeDocument/2006/customXml" ds:itemID="{843EFE65-E9E1-4E88-87A6-DA1DACB45724}">
  <ds:schemaRefs/>
</ds:datastoreItem>
</file>

<file path=customXml/itemProps10.xml><?xml version="1.0" encoding="utf-8"?>
<ds:datastoreItem xmlns:ds="http://schemas.openxmlformats.org/officeDocument/2006/customXml" ds:itemID="{4679E61E-3F98-48C3-BD27-54455278F2FF}">
  <ds:schemaRefs/>
</ds:datastoreItem>
</file>

<file path=customXml/itemProps11.xml><?xml version="1.0" encoding="utf-8"?>
<ds:datastoreItem xmlns:ds="http://schemas.openxmlformats.org/officeDocument/2006/customXml" ds:itemID="{49787BDA-4D65-4392-A3E3-34182E3755D9}">
  <ds:schemaRefs/>
</ds:datastoreItem>
</file>

<file path=customXml/itemProps12.xml><?xml version="1.0" encoding="utf-8"?>
<ds:datastoreItem xmlns:ds="http://schemas.openxmlformats.org/officeDocument/2006/customXml" ds:itemID="{97D3173E-33F6-405D-8311-E72902116D6E}">
  <ds:schemaRefs>
    <ds:schemaRef ds:uri="http://schemas.microsoft.com/DataMashup"/>
  </ds:schemaRefs>
</ds:datastoreItem>
</file>

<file path=customXml/itemProps13.xml><?xml version="1.0" encoding="utf-8"?>
<ds:datastoreItem xmlns:ds="http://schemas.openxmlformats.org/officeDocument/2006/customXml" ds:itemID="{82BC8723-3CC1-48CF-B17B-6A89816FF802}">
  <ds:schemaRefs/>
</ds:datastoreItem>
</file>

<file path=customXml/itemProps14.xml><?xml version="1.0" encoding="utf-8"?>
<ds:datastoreItem xmlns:ds="http://schemas.openxmlformats.org/officeDocument/2006/customXml" ds:itemID="{7F9C9397-B634-4D52-94D9-00D24DA7F561}">
  <ds:schemaRefs/>
</ds:datastoreItem>
</file>

<file path=customXml/itemProps15.xml><?xml version="1.0" encoding="utf-8"?>
<ds:datastoreItem xmlns:ds="http://schemas.openxmlformats.org/officeDocument/2006/customXml" ds:itemID="{90A98137-CE46-4BB4-814A-B34EE1747705}">
  <ds:schemaRefs/>
</ds:datastoreItem>
</file>

<file path=customXml/itemProps16.xml><?xml version="1.0" encoding="utf-8"?>
<ds:datastoreItem xmlns:ds="http://schemas.openxmlformats.org/officeDocument/2006/customXml" ds:itemID="{C50F71E0-93B6-42E8-A906-A8448ACA9DEB}">
  <ds:schemaRefs/>
</ds:datastoreItem>
</file>

<file path=customXml/itemProps17.xml><?xml version="1.0" encoding="utf-8"?>
<ds:datastoreItem xmlns:ds="http://schemas.openxmlformats.org/officeDocument/2006/customXml" ds:itemID="{BBC5BB6A-C318-4990-8ECA-C21A4E4E85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WASI QURAISHI</dc:creator>
  <cp:lastModifiedBy>MD WASI QURAISHI</cp:lastModifiedBy>
  <dcterms:created xsi:type="dcterms:W3CDTF">2026-08-22T10:10:53Z</dcterms:created>
  <dcterms:modified xsi:type="dcterms:W3CDTF">2026-08-22T14:28:44Z</dcterms:modified>
</cp:coreProperties>
</file>